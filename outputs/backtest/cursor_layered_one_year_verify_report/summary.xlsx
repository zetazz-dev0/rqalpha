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760" yWindow="3690" windowWidth="28800" windowHeight="15435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年度指标" sheetId="2" state="visible" r:id="rId2"/>
    <sheet xmlns:r="http://schemas.openxmlformats.org/officeDocument/2006/relationships" name="月度收益" sheetId="3" state="visible" r:id="rId3"/>
    <sheet xmlns:r="http://schemas.openxmlformats.org/officeDocument/2006/relationships" name="月度超额收益（几何）" sheetId="4" state="visible" r:id="rId4"/>
    <sheet xmlns:r="http://schemas.openxmlformats.org/officeDocument/2006/relationships" name="个股权重" sheetId="5" state="visible" r:id="rId5"/>
    <sheet xmlns:r="http://schemas.openxmlformats.org/officeDocument/2006/relationships" name="压力测试" sheetId="6" state="visible" r:id="rId6"/>
  </sheets>
  <definedNames>
    <definedName name="daily__date_count">COUNTA(个股权重!$A:$A)-1</definedName>
    <definedName name="daily__dates">OFFSET(个股权重!$A$2,0,0,daily__date_count)</definedName>
    <definedName name="daily__weight_25">OFFSET(个股权重!$F$2,0,0,daily__date_count)</definedName>
    <definedName name="daily__weight_50">OFFSET(个股权重!$G$2,0,0,daily__date_count)</definedName>
    <definedName name="daily__weight_75">OFFSET(个股权重!$H$2,0,0,daily__date_count)</definedName>
    <definedName name="daily__weight_max">OFFSET(个股权重!$I$2,0,0,daily__date_count)</definedName>
    <definedName name="daily__weight_mean">OFFSET(个股权重!$C$2,0,0,daily__date_count)</definedName>
  </definedNames>
  <calcPr calcId="144525" fullCalcOnLoad="1"/>
</workbook>
</file>

<file path=xl/styles.xml><?xml version="1.0" encoding="utf-8"?>
<styleSheet xmlns="http://schemas.openxmlformats.org/spreadsheetml/2006/main">
  <numFmts count="6">
    <numFmt numFmtId="164" formatCode="0.00_ "/>
    <numFmt numFmtId="165" formatCode="0.000_ "/>
    <numFmt numFmtId="166" formatCode="0_ "/>
    <numFmt numFmtId="167" formatCode="0_);[Red]\(0\)"/>
    <numFmt numFmtId="168" formatCode="yyyy/m/d;@"/>
    <numFmt numFmtId="169" formatCode="yyyy-mm-dd h:mm:ss"/>
  </numFmts>
  <fonts count="7">
    <font>
      <name val="宋体"/>
      <charset val="134"/>
      <color theme="1"/>
      <sz val="11"/>
      <scheme val="minor"/>
    </font>
    <font>
      <name val="Arial"/>
      <family val="2"/>
      <color rgb="FF000000"/>
      <sz val="12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  <font>
      <name val="等线"/>
      <charset val="134"/>
      <family val="3"/>
      <color theme="1"/>
      <sz val="14"/>
    </font>
    <font>
      <name val="宋体"/>
      <charset val="134"/>
      <family val="3"/>
      <color theme="1"/>
      <sz val="14"/>
      <scheme val="minor"/>
    </font>
    <font>
      <name val="等线"/>
      <charset val="134"/>
      <family val="3"/>
      <color theme="0"/>
      <sz val="14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6" borderId="7" applyAlignment="1" applyProtection="1">
      <alignment horizontal="center" vertical="center" wrapText="1" shrinkToFit="1"/>
      <protection locked="0" hidden="0"/>
    </xf>
    <xf numFmtId="0" fontId="1" fillId="6" borderId="7" applyAlignment="1" applyProtection="1">
      <alignment horizontal="center" vertical="center"/>
      <protection locked="0" hidden="0"/>
    </xf>
  </cellStyleXfs>
  <cellXfs count="35">
    <xf numFmtId="0" fontId="0" fillId="0" borderId="0" pivotButton="0" quotePrefix="0" xfId="0"/>
    <xf numFmtId="0" fontId="4" fillId="3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3" borderId="4" applyAlignment="1" pivotButton="0" quotePrefix="0" xfId="0">
      <alignment vertical="center"/>
    </xf>
    <xf numFmtId="0" fontId="4" fillId="5" borderId="4" applyAlignment="1" pivotButton="0" quotePrefix="0" xfId="0">
      <alignment vertical="center"/>
    </xf>
    <xf numFmtId="10" fontId="4" fillId="5" borderId="4" applyAlignment="1" pivotButton="0" quotePrefix="0" xfId="0">
      <alignment vertical="center"/>
    </xf>
    <xf numFmtId="164" fontId="4" fillId="5" borderId="4" applyAlignment="1" pivotButton="0" quotePrefix="0" xfId="0">
      <alignment vertical="center"/>
    </xf>
    <xf numFmtId="10" fontId="4" fillId="3" borderId="4" applyAlignment="1" pivotButton="0" quotePrefix="0" xfId="0">
      <alignment vertical="center"/>
    </xf>
    <xf numFmtId="164" fontId="4" fillId="3" borderId="4" applyAlignment="1" pivotButton="0" quotePrefix="0" xfId="0">
      <alignment vertical="center"/>
    </xf>
    <xf numFmtId="165" fontId="4" fillId="3" borderId="4" applyAlignment="1" pivotButton="0" quotePrefix="0" xfId="0">
      <alignment vertical="center"/>
    </xf>
    <xf numFmtId="0" fontId="4" fillId="3" borderId="4" applyAlignment="1" pivotButton="0" quotePrefix="0" xfId="0">
      <alignment horizontal="right" vertical="center"/>
    </xf>
    <xf numFmtId="10" fontId="4" fillId="3" borderId="6" applyAlignment="1" pivotButton="0" quotePrefix="0" xfId="0">
      <alignment vertical="center"/>
    </xf>
    <xf numFmtId="0" fontId="6" fillId="2" borderId="2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0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0" fontId="4" fillId="0" borderId="0" applyAlignment="1" pivotButton="0" quotePrefix="0" xfId="0">
      <alignment vertical="center"/>
    </xf>
    <xf numFmtId="168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49" fontId="6" fillId="2" borderId="0" applyAlignment="1" pivotButton="0" quotePrefix="0" xfId="0">
      <alignment vertical="center"/>
    </xf>
    <xf numFmtId="164" fontId="4" fillId="5" borderId="4" applyAlignment="1" pivotButton="0" quotePrefix="0" xfId="0">
      <alignment vertical="center"/>
    </xf>
    <xf numFmtId="164" fontId="4" fillId="3" borderId="4" applyAlignment="1" pivotButton="0" quotePrefix="0" xfId="0">
      <alignment vertical="center"/>
    </xf>
    <xf numFmtId="165" fontId="4" fillId="3" borderId="4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8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</cellXfs>
  <cellStyles count="3">
    <cellStyle name="常规" xfId="0" builtinId="0"/>
    <cellStyle name="-3522966690757464237" xfId="1"/>
    <cellStyle name="-4237263631367923067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 defTabSz="914400">
              <a:defRPr lang="zh-CN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个股权重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 defTabSz="914400">
            <a:defRPr lang="zh-CN"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个股权重!$C$1</f>
              <strCache>
                <ptCount val="1"/>
                <pt idx="0">
                  <v>mean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[0]!daily__dates</f>
              <strCache>
                <ptCount val="1"/>
                <pt idx="0">
                  <v>#date#</v>
                </pt>
              </strCache>
            </strRef>
          </cat>
          <val>
            <numRef>
              <f>[0]!daily__weight_mean</f>
              <numCache>
                <formatCode>0.00%</formatCode>
                <ptCount val="1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strRef>
              <f>个股权重!$H$1</f>
              <strCache>
                <ptCount val="1"/>
                <pt idx="0">
                  <v>75%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[0]!daily__dates</f>
              <strCache>
                <ptCount val="1"/>
                <pt idx="0">
                  <v>#date#</v>
                </pt>
              </strCache>
            </strRef>
          </cat>
          <val>
            <numRef>
              <f>[0]!daily__weight_75</f>
              <numCache>
                <formatCode>0.00%</formatCode>
                <ptCount val="1"/>
                <pt idx="0">
                  <v>0</v>
                </pt>
              </numCache>
            </numRef>
          </val>
          <smooth val="0"/>
        </ser>
        <ser>
          <idx val="2"/>
          <order val="2"/>
          <tx>
            <strRef>
              <f>个股权重!$I$1</f>
              <strCache>
                <ptCount val="1"/>
                <pt idx="0">
                  <v>max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[0]!daily__dates</f>
              <strCache>
                <ptCount val="1"/>
                <pt idx="0">
                  <v>#date#</v>
                </pt>
              </strCache>
            </strRef>
          </cat>
          <val>
            <numRef>
              <f>[0]!daily__weight_max</f>
              <numCache>
                <formatCode>0.00%</formatCode>
                <ptCount val="1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1121013"/>
        <axId val="195469628"/>
      </lineChart>
      <dateAx>
        <axId val="10112101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0" spcFirstLastPara="0" vertOverflow="ellipsis" wrap="square" anchor="ctr" anchorCtr="1" forceAA="0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95469628"/>
        <crosses val="autoZero"/>
        <lblOffset val="100"/>
        <baseTimeUnit val="days"/>
      </dateAx>
      <valAx>
        <axId val="1954696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1121013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249872029250457"/>
          <y val="0.926296958855098"/>
          <w val="0.532650822669104"/>
          <h val="0.05939177101967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1</row>
      <rowOff>12700</rowOff>
    </from>
    <to>
      <col>17</col>
      <colOff>535940</colOff>
      <row>22</row>
      <rowOff>213995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tabSelected="1" workbookViewId="0">
      <selection activeCell="A4" sqref="A4"/>
    </sheetView>
  </sheetViews>
  <sheetFormatPr baseColWidth="8" defaultColWidth="8.875" defaultRowHeight="20.1" customHeight="1"/>
  <cols>
    <col width="34" customWidth="1" style="2" min="1" max="1"/>
    <col width="46.5" customWidth="1" style="2" min="2" max="2"/>
    <col width="8.875" customWidth="1" style="2" min="3" max="16384"/>
  </cols>
  <sheetData>
    <row r="1" ht="20.1" customHeight="1">
      <c r="A1" s="12" t="inlineStr">
        <is>
          <t>策略名称</t>
        </is>
      </c>
      <c r="B1" s="1" t="inlineStr">
        <is>
          <t>cursor_rate_layered_strategy</t>
        </is>
      </c>
    </row>
    <row r="2" ht="20.1" customHeight="1">
      <c r="A2" s="13" t="inlineStr">
        <is>
          <t>开始日期</t>
        </is>
      </c>
      <c r="B2" s="3" t="inlineStr">
        <is>
          <t>2024-03-28</t>
        </is>
      </c>
    </row>
    <row r="3" ht="20.1" customHeight="1">
      <c r="A3" s="13" t="inlineStr">
        <is>
          <t>结束日期</t>
        </is>
      </c>
      <c r="B3" s="3" t="inlineStr">
        <is>
          <t>2025-03-27</t>
        </is>
      </c>
    </row>
    <row r="4" ht="20.1" customHeight="1">
      <c r="A4" s="13" t="inlineStr">
        <is>
          <t>代码文件</t>
        </is>
      </c>
      <c r="B4" s="3" t="inlineStr">
        <is>
          <t>strategies/cursor_rate_layered_strategy.py</t>
        </is>
      </c>
    </row>
    <row r="5" ht="20.1" customHeight="1">
      <c r="A5" s="13" t="inlineStr">
        <is>
          <t>初始资金</t>
        </is>
      </c>
      <c r="B5" s="3" t="inlineStr">
        <is>
          <t>STOCK:1000000.0</t>
        </is>
      </c>
    </row>
    <row r="6" ht="20.1" customHeight="1">
      <c r="A6" s="13" t="inlineStr">
        <is>
          <t>业绩基准</t>
        </is>
      </c>
      <c r="B6" s="3" t="n">
        <v/>
      </c>
    </row>
    <row r="7" ht="20.1" customHeight="1">
      <c r="A7" s="13" t="inlineStr">
        <is>
          <t>基准名称</t>
        </is>
      </c>
      <c r="B7" s="3" t="n">
        <v/>
      </c>
    </row>
    <row r="8" ht="20.1" customHeight="1">
      <c r="A8" s="14" t="inlineStr">
        <is>
          <t>总权益</t>
        </is>
      </c>
      <c r="B8" s="4" t="n">
        <v>1099138.338999995</v>
      </c>
    </row>
    <row r="9" ht="20.1" customHeight="1">
      <c r="A9" s="14" t="inlineStr">
        <is>
          <t>剩余资金</t>
        </is>
      </c>
      <c r="B9" s="4" t="n">
        <v>960182.3389999953</v>
      </c>
    </row>
    <row r="10" ht="20.1" customHeight="1">
      <c r="A10" s="14" t="inlineStr">
        <is>
          <t>收益率</t>
        </is>
      </c>
      <c r="B10" s="5" t="n">
        <v>0.09913833899999536</v>
      </c>
    </row>
    <row r="11" ht="20.1" customHeight="1">
      <c r="A11" s="14" t="inlineStr">
        <is>
          <t>年化收益率</t>
        </is>
      </c>
      <c r="B11" s="5" t="n">
        <v>0.1038908047818166</v>
      </c>
    </row>
    <row r="12" ht="20.1" customHeight="1">
      <c r="A12" s="14" t="inlineStr">
        <is>
          <t>单位净值</t>
        </is>
      </c>
      <c r="B12" s="27" t="n">
        <v>1.099138338999995</v>
      </c>
    </row>
    <row r="13" ht="20.1" customHeight="1">
      <c r="A13" s="14" t="inlineStr">
        <is>
          <t>份额</t>
        </is>
      </c>
      <c r="B13" s="4" t="n">
        <v>1000000</v>
      </c>
    </row>
    <row r="14" ht="20.1" customHeight="1">
      <c r="A14" s="14" t="inlineStr">
        <is>
          <t>换手率</t>
        </is>
      </c>
      <c r="B14" s="5" t="n">
        <v>7.324072917950058</v>
      </c>
    </row>
    <row r="15" ht="20.1" customHeight="1">
      <c r="A15" s="14" t="inlineStr">
        <is>
          <t>日均换手率</t>
        </is>
      </c>
      <c r="B15" s="5" t="n">
        <v>0.03059145130985725</v>
      </c>
    </row>
    <row r="16" ht="20.1" customHeight="1">
      <c r="A16" s="13" t="inlineStr">
        <is>
          <t>波动率</t>
        </is>
      </c>
      <c r="B16" s="7" t="n">
        <v>0.06351047027247068</v>
      </c>
    </row>
    <row r="17" ht="20.1" customHeight="1">
      <c r="A17" s="13" t="inlineStr">
        <is>
          <t>夏普比率</t>
        </is>
      </c>
      <c r="B17" s="28" t="n">
        <v>1.319123461392847</v>
      </c>
    </row>
    <row r="18" ht="20.1" customHeight="1">
      <c r="A18" s="13" t="inlineStr">
        <is>
          <t>下行风险</t>
        </is>
      </c>
      <c r="B18" s="28" t="n">
        <v>0.03141887316768681</v>
      </c>
    </row>
    <row r="19" ht="20.1" customHeight="1">
      <c r="A19" s="13" t="inlineStr">
        <is>
          <t>索提诺比率</t>
        </is>
      </c>
      <c r="B19" s="28" t="n">
        <v>2.666491281637428</v>
      </c>
    </row>
    <row r="20" ht="20.1" customHeight="1">
      <c r="A20" s="13" t="inlineStr">
        <is>
          <t>最大回撤</t>
        </is>
      </c>
      <c r="B20" s="7" t="n">
        <v>0.03901220720170544</v>
      </c>
    </row>
    <row r="21" ht="20.1" customHeight="1">
      <c r="A21" s="13" t="inlineStr">
        <is>
          <t>风险价值</t>
        </is>
      </c>
      <c r="B21" s="29" t="n">
        <v>0.006152097483040199</v>
      </c>
    </row>
    <row r="22" ht="20.1" customHeight="1">
      <c r="A22" s="13" t="inlineStr">
        <is>
          <t>胜率</t>
        </is>
      </c>
      <c r="B22" s="7" t="n">
        <v>0.5062240663900415</v>
      </c>
    </row>
    <row r="23" ht="20.1" customHeight="1">
      <c r="A23" s="13" t="inlineStr">
        <is>
          <t>盈亏比</t>
        </is>
      </c>
      <c r="B23" s="7" t="n">
        <v>1.404142274536959</v>
      </c>
    </row>
    <row r="24" ht="20.1" customHeight="1">
      <c r="A24" s="13" t="inlineStr">
        <is>
          <t>最长回撤开始日期</t>
        </is>
      </c>
      <c r="B24" s="10" t="inlineStr">
        <is>
          <t>2024-11-07</t>
        </is>
      </c>
    </row>
    <row r="25" ht="20.1" customHeight="1">
      <c r="A25" s="13" t="inlineStr">
        <is>
          <t>最长回撤结束日期</t>
        </is>
      </c>
      <c r="B25" s="10" t="inlineStr">
        <is>
          <t>2025-03-27</t>
        </is>
      </c>
    </row>
    <row r="26" ht="20.1" customHeight="1">
      <c r="A26" s="13" t="inlineStr">
        <is>
          <t>最长回撤持续天数</t>
        </is>
      </c>
      <c r="B26" s="3" t="n">
        <v>140</v>
      </c>
    </row>
    <row r="27" ht="20.1" customHeight="1">
      <c r="A27" s="13" t="inlineStr">
        <is>
          <t>超额收益最长回撤开始日期</t>
        </is>
      </c>
      <c r="B27" s="10" t="n">
        <v/>
      </c>
    </row>
    <row r="28" ht="20.1" customHeight="1">
      <c r="A28" s="13" t="inlineStr">
        <is>
          <t>超额收益最长回撤结束日期</t>
        </is>
      </c>
      <c r="B28" s="10" t="n">
        <v/>
      </c>
    </row>
    <row r="29" ht="20.1" customHeight="1">
      <c r="A29" s="13" t="inlineStr">
        <is>
          <t>超额收益最长回撤持续天数</t>
        </is>
      </c>
      <c r="B29" s="3" t="n">
        <v/>
      </c>
    </row>
    <row r="30" ht="20.1" customHeight="1">
      <c r="A30" s="14" t="inlineStr">
        <is>
          <t>超额收益（几何）</t>
        </is>
      </c>
      <c r="B30" s="5" t="n">
        <v/>
      </c>
    </row>
    <row r="31" ht="20.1" customHeight="1">
      <c r="A31" s="14" t="inlineStr">
        <is>
          <t>超额收益（算术）</t>
        </is>
      </c>
      <c r="B31" s="5" t="n">
        <v/>
      </c>
    </row>
    <row r="32" ht="20.1" customHeight="1">
      <c r="A32" s="14" t="inlineStr">
        <is>
          <t>年化超额收益（几何）</t>
        </is>
      </c>
      <c r="B32" s="5" t="n">
        <v/>
      </c>
    </row>
    <row r="33" ht="20.1" customHeight="1">
      <c r="A33" s="14" t="inlineStr">
        <is>
          <t>阿尔法</t>
        </is>
      </c>
      <c r="B33" s="27" t="n">
        <v/>
      </c>
    </row>
    <row r="34" ht="20.1" customHeight="1">
      <c r="A34" s="14" t="inlineStr">
        <is>
          <t>贝塔</t>
        </is>
      </c>
      <c r="B34" s="27" t="n">
        <v/>
      </c>
    </row>
    <row r="35" ht="20.1" customHeight="1">
      <c r="A35" s="14" t="inlineStr">
        <is>
          <t>信息比率</t>
        </is>
      </c>
      <c r="B35" s="27" t="n">
        <v/>
      </c>
    </row>
    <row r="36" ht="20.1" customHeight="1">
      <c r="A36" s="14" t="inlineStr">
        <is>
          <t>超额收益夏普率</t>
        </is>
      </c>
      <c r="B36" s="27" t="n">
        <v/>
      </c>
    </row>
    <row r="37" ht="20.1" customHeight="1">
      <c r="A37" s="14" t="inlineStr">
        <is>
          <t>超额收益率年化波动率</t>
        </is>
      </c>
      <c r="B37" s="5" t="n">
        <v/>
      </c>
    </row>
    <row r="38" ht="20.1" customHeight="1">
      <c r="A38" s="14" t="inlineStr">
        <is>
          <t>超额收益最大回撤（几何）</t>
        </is>
      </c>
      <c r="B38" s="5" t="n">
        <v/>
      </c>
    </row>
    <row r="39" ht="20.1" customHeight="1">
      <c r="A39" s="14" t="inlineStr">
        <is>
          <t>超额收益月度胜率</t>
        </is>
      </c>
      <c r="B39" s="5" t="n">
        <v>0</v>
      </c>
    </row>
    <row r="40" ht="20.1" customHeight="1">
      <c r="A40" s="14" t="inlineStr">
        <is>
          <t>跟踪误差</t>
        </is>
      </c>
      <c r="B40" s="5" t="n">
        <v/>
      </c>
    </row>
    <row r="41" ht="20.1" customHeight="1">
      <c r="A41" s="13" t="inlineStr">
        <is>
          <t>周度阿尔法</t>
        </is>
      </c>
      <c r="B41" s="28" t="n">
        <v/>
      </c>
    </row>
    <row r="42" ht="20.1" customHeight="1">
      <c r="A42" s="13" t="inlineStr">
        <is>
          <t>周度贝塔</t>
        </is>
      </c>
      <c r="B42" s="28" t="n">
        <v/>
      </c>
    </row>
    <row r="43" ht="20.1" customHeight="1">
      <c r="A43" s="13" t="inlineStr">
        <is>
          <t>周度夏普率</t>
        </is>
      </c>
      <c r="B43" s="28" t="n">
        <v>0.9828037955873551</v>
      </c>
    </row>
    <row r="44" ht="20.1" customHeight="1">
      <c r="A44" s="13" t="inlineStr">
        <is>
          <t>周度索提诺</t>
        </is>
      </c>
      <c r="B44" s="28" t="n">
        <v>2.581271735253448</v>
      </c>
    </row>
    <row r="45" ht="20.1" customHeight="1">
      <c r="A45" s="13" t="inlineStr">
        <is>
          <t>周度信息比率</t>
        </is>
      </c>
      <c r="B45" s="28" t="n">
        <v/>
      </c>
    </row>
    <row r="46" ht="20.1" customHeight="1">
      <c r="A46" s="13" t="inlineStr">
        <is>
          <t>周度跟踪误差</t>
        </is>
      </c>
      <c r="B46" s="7" t="n">
        <v/>
      </c>
    </row>
    <row r="47" ht="20.1" customHeight="1">
      <c r="A47" s="13" t="inlineStr">
        <is>
          <t>周度最大回撤</t>
        </is>
      </c>
      <c r="B47" s="7" t="n">
        <v>0.03786146802540254</v>
      </c>
    </row>
    <row r="48" ht="20.1" customHeight="1">
      <c r="A48" s="13" t="inlineStr">
        <is>
          <t>周度累计回撤深度</t>
        </is>
      </c>
      <c r="B48" s="28" t="n">
        <v>1.575227895932038</v>
      </c>
    </row>
    <row r="49" ht="20.1" customHeight="1">
      <c r="A49" s="13" t="inlineStr">
        <is>
          <t>周度累计回撤夏普率</t>
        </is>
      </c>
      <c r="B49" s="28" t="n">
        <v>0.05091505074042947</v>
      </c>
    </row>
    <row r="50" ht="20.1" customHeight="1">
      <c r="A50" s="13" t="inlineStr">
        <is>
          <t>周度超额累计回撤深度</t>
        </is>
      </c>
      <c r="B50" s="28" t="n">
        <v/>
      </c>
    </row>
    <row r="51" ht="20.1" customHeight="1">
      <c r="A51" s="13" t="inlineStr">
        <is>
          <t>周度超额累计回撤夏普率</t>
        </is>
      </c>
      <c r="B51" s="28" t="n">
        <v/>
      </c>
    </row>
    <row r="52" ht="20.1" customHeight="1">
      <c r="A52" s="15" t="inlineStr">
        <is>
          <t>周度胜率</t>
        </is>
      </c>
      <c r="B52" s="11" t="n">
        <v>0.4905660377358491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topLeftCell="J1" zoomScaleNormal="100" workbookViewId="0">
      <selection activeCell="R7" sqref="R7"/>
    </sheetView>
  </sheetViews>
  <sheetFormatPr baseColWidth="8" defaultColWidth="10.875" defaultRowHeight="18.75"/>
  <cols>
    <col width="12.625" customWidth="1" style="2" min="1" max="1"/>
    <col width="24.625" customWidth="1" style="2" min="2" max="18"/>
    <col width="10.875" customWidth="1" style="2" min="19" max="16384"/>
  </cols>
  <sheetData>
    <row r="1" ht="20.1" customHeight="1">
      <c r="A1" s="21" t="inlineStr">
        <is>
          <t>年份</t>
        </is>
      </c>
      <c r="B1" s="21" t="inlineStr">
        <is>
          <t>收益率</t>
        </is>
      </c>
      <c r="C1" s="21" t="inlineStr">
        <is>
          <t>基准收益率</t>
        </is>
      </c>
      <c r="D1" s="21" t="inlineStr">
        <is>
          <t>超额收益率（几何）</t>
        </is>
      </c>
      <c r="E1" s="21" t="inlineStr">
        <is>
          <t>收益最大回撤</t>
        </is>
      </c>
      <c r="F1" s="21" t="inlineStr">
        <is>
          <t>最大回撤持续时间</t>
        </is>
      </c>
      <c r="G1" s="21" t="inlineStr">
        <is>
          <t>超额最大回撤（几何）</t>
        </is>
      </c>
      <c r="H1" s="21" t="inlineStr">
        <is>
          <t>超额最大回撤持续时间</t>
        </is>
      </c>
      <c r="I1" s="21" t="inlineStr">
        <is>
          <t>超额收益年化波动率</t>
        </is>
      </c>
      <c r="J1" s="21" t="inlineStr">
        <is>
          <t>绝对收益年化波动率</t>
        </is>
      </c>
      <c r="K1" s="21" t="inlineStr">
        <is>
          <t>夏普比率</t>
        </is>
      </c>
      <c r="L1" s="21" t="inlineStr">
        <is>
          <t>超额夏普比率</t>
        </is>
      </c>
      <c r="M1" s="21" t="inlineStr">
        <is>
          <t>信息比率</t>
        </is>
      </c>
      <c r="N1" s="21" t="inlineStr">
        <is>
          <t>跟踪误差</t>
        </is>
      </c>
      <c r="O1" s="21" t="inlineStr">
        <is>
          <t>超额收益周胜率</t>
        </is>
      </c>
      <c r="P1" s="21" t="inlineStr">
        <is>
          <t>超额收益月胜率</t>
        </is>
      </c>
      <c r="Q1" s="21" t="inlineStr">
        <is>
          <t>阿尔法</t>
        </is>
      </c>
      <c r="R1" s="21" t="inlineStr">
        <is>
          <t>贝塔</t>
        </is>
      </c>
    </row>
    <row r="2" ht="20.1" customHeight="1">
      <c r="A2" s="16" t="n">
        <v>2024</v>
      </c>
      <c r="B2" s="17" t="n">
        <v>0.09775000000000145</v>
      </c>
      <c r="C2" s="17" t="n">
        <v>0</v>
      </c>
      <c r="D2" s="17" t="n">
        <v>0.09775000000000134</v>
      </c>
      <c r="E2" s="17" t="n">
        <v>0.03901245507802848</v>
      </c>
      <c r="F2" s="30" t="n">
        <v>52</v>
      </c>
      <c r="G2" s="17" t="n">
        <v/>
      </c>
      <c r="H2" s="31" t="n">
        <v>278</v>
      </c>
      <c r="I2" s="17" t="n">
        <v/>
      </c>
      <c r="J2" s="17" t="n">
        <v>0.07158853601601337</v>
      </c>
      <c r="K2" s="32" t="n">
        <v>1.562272885969748</v>
      </c>
      <c r="L2" s="32" t="n">
        <v/>
      </c>
      <c r="M2" s="32" t="n">
        <v/>
      </c>
      <c r="N2" s="17" t="n">
        <v/>
      </c>
      <c r="O2" s="17" t="n">
        <v/>
      </c>
      <c r="P2" s="17" t="n">
        <v/>
      </c>
      <c r="Q2" s="17" t="n">
        <v/>
      </c>
      <c r="R2" s="17" t="n">
        <v/>
      </c>
    </row>
    <row r="3">
      <c r="A3" s="16" t="n">
        <v>2025</v>
      </c>
      <c r="B3" s="17" t="n">
        <v>0.001264404463675231</v>
      </c>
      <c r="C3" s="17" t="n">
        <v>0</v>
      </c>
      <c r="D3" s="17" t="n">
        <v>0.001264404463675151</v>
      </c>
      <c r="E3" s="17" t="n">
        <v>0.00725392849009332</v>
      </c>
      <c r="F3" s="30" t="n">
        <v>8</v>
      </c>
      <c r="G3" s="17" t="n">
        <v/>
      </c>
      <c r="H3" s="31" t="n">
        <v>84</v>
      </c>
      <c r="I3" s="17" t="n">
        <v/>
      </c>
      <c r="J3" s="17" t="n">
        <v>0.01795106488619038</v>
      </c>
      <c r="K3" s="32" t="n">
        <v>-0.1649212955283028</v>
      </c>
      <c r="L3" s="32" t="n">
        <v/>
      </c>
      <c r="M3" s="32" t="n">
        <v/>
      </c>
      <c r="N3" s="17" t="n">
        <v/>
      </c>
      <c r="O3" s="17" t="n">
        <v/>
      </c>
      <c r="P3" s="17" t="n">
        <v/>
      </c>
      <c r="Q3" s="17" t="n">
        <v/>
      </c>
      <c r="R3" s="17" t="n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zoomScaleNormal="100" workbookViewId="0">
      <selection activeCell="C12" sqref="C12"/>
    </sheetView>
  </sheetViews>
  <sheetFormatPr baseColWidth="8" defaultColWidth="10.875" defaultRowHeight="18"/>
  <cols>
    <col width="10.875" customWidth="1" style="22" min="1" max="1"/>
    <col width="16.625" customWidth="1" style="22" min="2" max="14"/>
    <col width="10.875" customWidth="1" style="22" min="15" max="16384"/>
  </cols>
  <sheetData>
    <row r="1" ht="20.1" customHeight="1">
      <c r="A1" s="21" t="n"/>
      <c r="B1" s="21" t="inlineStr">
        <is>
          <t>一月</t>
        </is>
      </c>
      <c r="C1" s="21" t="inlineStr">
        <is>
          <t>二月</t>
        </is>
      </c>
      <c r="D1" s="21" t="inlineStr">
        <is>
          <t>三月</t>
        </is>
      </c>
      <c r="E1" s="21" t="inlineStr">
        <is>
          <t>四月</t>
        </is>
      </c>
      <c r="F1" s="21" t="inlineStr">
        <is>
          <t>五月</t>
        </is>
      </c>
      <c r="G1" s="21" t="inlineStr">
        <is>
          <t>六月</t>
        </is>
      </c>
      <c r="H1" s="21" t="inlineStr">
        <is>
          <t>七月</t>
        </is>
      </c>
      <c r="I1" s="21" t="inlineStr">
        <is>
          <t>八月</t>
        </is>
      </c>
      <c r="J1" s="21" t="inlineStr">
        <is>
          <t>九月</t>
        </is>
      </c>
      <c r="K1" s="21" t="inlineStr">
        <is>
          <t>十月</t>
        </is>
      </c>
      <c r="L1" s="21" t="inlineStr">
        <is>
          <t>十一月</t>
        </is>
      </c>
      <c r="M1" s="21" t="inlineStr">
        <is>
          <t>十二月</t>
        </is>
      </c>
      <c r="N1" s="21" t="inlineStr">
        <is>
          <t>年度加总</t>
        </is>
      </c>
    </row>
    <row r="2" ht="20.1" customHeight="1">
      <c r="A2" s="22" t="n">
        <v>2024</v>
      </c>
      <c r="B2" s="23" t="n">
        <v/>
      </c>
      <c r="C2" s="23" t="n">
        <v/>
      </c>
      <c r="D2" s="23" t="n">
        <v>-0.000256000000000034</v>
      </c>
      <c r="E2" s="23" t="n">
        <v>0.001423364381281766</v>
      </c>
      <c r="F2" s="23" t="n">
        <v>0.002813716392969345</v>
      </c>
      <c r="G2" s="23" t="n">
        <v>-0.0216158823248177</v>
      </c>
      <c r="H2" s="23" t="n">
        <v>0.01475340075456955</v>
      </c>
      <c r="I2" s="23" t="n">
        <v>-0.006753787719182225</v>
      </c>
      <c r="J2" s="23" t="n">
        <v>0.09543534516717478</v>
      </c>
      <c r="K2" s="23" t="n">
        <v>0.008376001703968461</v>
      </c>
      <c r="L2" s="23" t="n">
        <v>0.004357125156934094</v>
      </c>
      <c r="M2" s="23" t="n">
        <v>-0.0005699323364672937</v>
      </c>
      <c r="N2" s="23" t="n">
        <v>0.09775000000000045</v>
      </c>
    </row>
    <row r="3">
      <c r="A3" s="22" t="n">
        <v>2025</v>
      </c>
      <c r="B3" s="23" t="n">
        <v>-0.00330676383511741</v>
      </c>
      <c r="C3" s="23" t="n">
        <v>0.0008518261251053705</v>
      </c>
      <c r="D3" s="23" t="n">
        <v>0.003731329653751336</v>
      </c>
      <c r="E3" s="23" t="n">
        <v/>
      </c>
      <c r="F3" s="23" t="n">
        <v/>
      </c>
      <c r="G3" s="23" t="n">
        <v/>
      </c>
      <c r="H3" s="23" t="n">
        <v/>
      </c>
      <c r="I3" s="23" t="n">
        <v/>
      </c>
      <c r="J3" s="23" t="n">
        <v/>
      </c>
      <c r="K3" s="23" t="n">
        <v/>
      </c>
      <c r="L3" s="23" t="n">
        <v/>
      </c>
      <c r="M3" s="23" t="n">
        <v/>
      </c>
      <c r="N3" s="23" t="n">
        <v>0.001264404463675595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D24" sqref="D24"/>
    </sheetView>
  </sheetViews>
  <sheetFormatPr baseColWidth="8" defaultColWidth="10.875" defaultRowHeight="18"/>
  <cols>
    <col width="10.875" customWidth="1" style="22" min="1" max="1"/>
    <col width="16.625" customWidth="1" style="22" min="2" max="14"/>
    <col width="10.875" customWidth="1" style="22" min="15" max="16384"/>
  </cols>
  <sheetData>
    <row r="1" ht="20.1" customHeight="1">
      <c r="A1" s="21" t="n"/>
      <c r="B1" s="21" t="inlineStr">
        <is>
          <t>一月</t>
        </is>
      </c>
      <c r="C1" s="21" t="inlineStr">
        <is>
          <t>二月</t>
        </is>
      </c>
      <c r="D1" s="21" t="inlineStr">
        <is>
          <t>三月</t>
        </is>
      </c>
      <c r="E1" s="21" t="inlineStr">
        <is>
          <t>四月</t>
        </is>
      </c>
      <c r="F1" s="21" t="inlineStr">
        <is>
          <t>五月</t>
        </is>
      </c>
      <c r="G1" s="21" t="inlineStr">
        <is>
          <t>六月</t>
        </is>
      </c>
      <c r="H1" s="21" t="inlineStr">
        <is>
          <t>七月</t>
        </is>
      </c>
      <c r="I1" s="21" t="inlineStr">
        <is>
          <t>八月</t>
        </is>
      </c>
      <c r="J1" s="21" t="inlineStr">
        <is>
          <t>九月</t>
        </is>
      </c>
      <c r="K1" s="21" t="inlineStr">
        <is>
          <t>十月</t>
        </is>
      </c>
      <c r="L1" s="21" t="inlineStr">
        <is>
          <t>十一月</t>
        </is>
      </c>
      <c r="M1" s="21" t="inlineStr">
        <is>
          <t>十二月</t>
        </is>
      </c>
      <c r="N1" s="21" t="inlineStr">
        <is>
          <t>年度加总</t>
        </is>
      </c>
    </row>
    <row r="2" ht="20.1" customHeight="1">
      <c r="A2" s="22" t="n">
        <v/>
      </c>
      <c r="B2" s="23" t="n">
        <v/>
      </c>
      <c r="C2" s="23" t="n">
        <v/>
      </c>
      <c r="D2" s="23" t="n">
        <v/>
      </c>
      <c r="E2" s="23" t="n">
        <v/>
      </c>
      <c r="F2" s="23" t="n">
        <v/>
      </c>
      <c r="G2" s="23" t="n">
        <v/>
      </c>
      <c r="H2" s="23" t="n">
        <v/>
      </c>
      <c r="I2" s="23" t="n">
        <v/>
      </c>
      <c r="J2" s="23" t="n">
        <v/>
      </c>
      <c r="K2" s="23" t="n">
        <v/>
      </c>
      <c r="L2" s="23" t="n">
        <v/>
      </c>
      <c r="M2" s="23" t="n">
        <v/>
      </c>
      <c r="N2" s="23" t="n"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C8" sqref="C8"/>
    </sheetView>
  </sheetViews>
  <sheetFormatPr baseColWidth="8" defaultColWidth="9.25" defaultRowHeight="18"/>
  <cols>
    <col width="14.625" customWidth="1" style="22" min="1" max="2"/>
    <col width="10.625" customWidth="1" style="22" min="3" max="9"/>
    <col width="9.25" customWidth="1" style="22" min="10" max="16384"/>
  </cols>
  <sheetData>
    <row r="1">
      <c r="A1" s="21" t="inlineStr">
        <is>
          <t>日期</t>
        </is>
      </c>
      <c r="B1" s="21" t="inlineStr">
        <is>
          <t>持仓总个数</t>
        </is>
      </c>
      <c r="C1" s="21" t="inlineStr">
        <is>
          <t>mean</t>
        </is>
      </c>
      <c r="D1" s="21" t="inlineStr">
        <is>
          <t>std</t>
        </is>
      </c>
      <c r="E1" s="21" t="inlineStr">
        <is>
          <t>min</t>
        </is>
      </c>
      <c r="F1" s="26" t="inlineStr">
        <is>
          <t>25%</t>
        </is>
      </c>
      <c r="G1" s="26" t="inlineStr">
        <is>
          <t>50%</t>
        </is>
      </c>
      <c r="H1" s="26" t="inlineStr">
        <is>
          <t>75%</t>
        </is>
      </c>
      <c r="I1" s="21" t="inlineStr">
        <is>
          <t>max</t>
        </is>
      </c>
    </row>
    <row r="2">
      <c r="A2" s="33" t="n">
        <v>45379</v>
      </c>
      <c r="B2" s="34" t="n">
        <v>4</v>
      </c>
      <c r="C2" s="23" t="n">
        <v>0.25</v>
      </c>
      <c r="D2" s="23" t="n">
        <v>0.1597120548048919</v>
      </c>
      <c r="E2" s="23" t="n">
        <v>0.09556094422724798</v>
      </c>
      <c r="F2" s="23" t="n">
        <v>0.1357574107982382</v>
      </c>
      <c r="G2" s="23" t="n">
        <v>0.2281882515959816</v>
      </c>
      <c r="H2" s="23" t="n">
        <v>0.3424308407977433</v>
      </c>
      <c r="I2" s="23" t="n">
        <v>0.4480625525807888</v>
      </c>
    </row>
    <row r="3">
      <c r="A3" s="33" t="n">
        <v>45380</v>
      </c>
      <c r="B3" s="34" t="n">
        <v>4</v>
      </c>
      <c r="C3" s="23" t="n">
        <v>0.25</v>
      </c>
      <c r="D3" s="23" t="n">
        <v>0.1138382095921139</v>
      </c>
      <c r="E3" s="23" t="n">
        <v>0.1793331050157228</v>
      </c>
      <c r="F3" s="23" t="n">
        <v>0.1884865655842336</v>
      </c>
      <c r="G3" s="23" t="n">
        <v>0.2004576730284255</v>
      </c>
      <c r="H3" s="23" t="n">
        <v>0.2619711074441919</v>
      </c>
      <c r="I3" s="23" t="n">
        <v>0.4197515489274261</v>
      </c>
    </row>
    <row r="4">
      <c r="A4" s="33" t="n">
        <v>45383</v>
      </c>
      <c r="B4" s="34" t="n">
        <v>5</v>
      </c>
      <c r="C4" s="23" t="n">
        <v>0.2</v>
      </c>
      <c r="D4" s="23" t="n">
        <v>0.07679111954878326</v>
      </c>
      <c r="E4" s="23" t="n">
        <v>0.08724510029012127</v>
      </c>
      <c r="F4" s="23" t="n">
        <v>0.1766400200371522</v>
      </c>
      <c r="G4" s="23" t="n">
        <v>0.2009976832042746</v>
      </c>
      <c r="H4" s="23" t="n">
        <v>0.2430757028657302</v>
      </c>
      <c r="I4" s="23" t="n">
        <v>0.2920414936027217</v>
      </c>
    </row>
    <row r="5">
      <c r="A5" s="33" t="n">
        <v>45384</v>
      </c>
      <c r="B5" s="34" t="n">
        <v>5</v>
      </c>
      <c r="C5" s="23" t="n">
        <v>0.2</v>
      </c>
      <c r="D5" s="23" t="n">
        <v>0.08473514088085252</v>
      </c>
      <c r="E5" s="23" t="n">
        <v>0.07369180801154818</v>
      </c>
      <c r="F5" s="23" t="n">
        <v>0.1710573800072176</v>
      </c>
      <c r="G5" s="23" t="n">
        <v>0.2090581017683147</v>
      </c>
      <c r="H5" s="23" t="n">
        <v>0.2490075784915193</v>
      </c>
      <c r="I5" s="23" t="n">
        <v>0.2971851317214002</v>
      </c>
    </row>
    <row r="6">
      <c r="A6" s="33" t="n">
        <v>45385</v>
      </c>
      <c r="B6" s="34" t="n">
        <v>5</v>
      </c>
      <c r="C6" s="23" t="n">
        <v>0.2</v>
      </c>
      <c r="D6" s="23" t="n">
        <v>0.06573401302553596</v>
      </c>
      <c r="E6" s="23" t="n">
        <v>0.1030076126294771</v>
      </c>
      <c r="F6" s="23" t="n">
        <v>0.1912891551229252</v>
      </c>
      <c r="G6" s="23" t="n">
        <v>0.1954324223137402</v>
      </c>
      <c r="H6" s="23" t="n">
        <v>0.2259827779857731</v>
      </c>
      <c r="I6" s="23" t="n">
        <v>0.2842880319480844</v>
      </c>
    </row>
    <row r="7">
      <c r="A7" s="33" t="n">
        <v>45390</v>
      </c>
      <c r="B7" s="34" t="n">
        <v>5</v>
      </c>
      <c r="C7" s="23" t="n">
        <v>0.2</v>
      </c>
      <c r="D7" s="23" t="n">
        <v>0.06612600390604358</v>
      </c>
      <c r="E7" s="23" t="n">
        <v>0.1328763253954459</v>
      </c>
      <c r="F7" s="23" t="n">
        <v>0.1630670954284721</v>
      </c>
      <c r="G7" s="23" t="n">
        <v>0.1644359464627151</v>
      </c>
      <c r="H7" s="23" t="n">
        <v>0.2523574656700852</v>
      </c>
      <c r="I7" s="23" t="n">
        <v>0.2872631670432818</v>
      </c>
    </row>
    <row r="8">
      <c r="A8" s="33" t="n">
        <v>45391</v>
      </c>
      <c r="B8" s="34" t="n">
        <v>5</v>
      </c>
      <c r="C8" s="23" t="n">
        <v>0.2</v>
      </c>
      <c r="D8" s="23" t="n">
        <v>0.04861107616882514</v>
      </c>
      <c r="E8" s="23" t="n">
        <v>0.1509348731243617</v>
      </c>
      <c r="F8" s="23" t="n">
        <v>0.163209992929531</v>
      </c>
      <c r="G8" s="23" t="n">
        <v>0.1858944143294839</v>
      </c>
      <c r="H8" s="23" t="n">
        <v>0.2342289260743185</v>
      </c>
      <c r="I8" s="23" t="n">
        <v>0.265731793542305</v>
      </c>
    </row>
    <row r="9">
      <c r="A9" s="33" t="n">
        <v>45392</v>
      </c>
      <c r="B9" s="34" t="n">
        <v>5</v>
      </c>
      <c r="C9" s="23" t="n">
        <v>0.2</v>
      </c>
      <c r="D9" s="23" t="n">
        <v>0.03483460367945397</v>
      </c>
      <c r="E9" s="23" t="n">
        <v>0.1524098840440114</v>
      </c>
      <c r="F9" s="23" t="n">
        <v>0.1875578853776905</v>
      </c>
      <c r="G9" s="23" t="n">
        <v>0.1940780943207498</v>
      </c>
      <c r="H9" s="23" t="n">
        <v>0.2223909902567332</v>
      </c>
      <c r="I9" s="23" t="n">
        <v>0.243563146000815</v>
      </c>
    </row>
    <row r="10">
      <c r="A10" s="33" t="n">
        <v>45393</v>
      </c>
      <c r="B10" s="34" t="n">
        <v>6</v>
      </c>
      <c r="C10" s="23" t="n">
        <v>0.1666666666666667</v>
      </c>
      <c r="D10" s="23" t="n">
        <v>0.05427751953971593</v>
      </c>
      <c r="E10" s="23" t="n">
        <v>0.06627418284528083</v>
      </c>
      <c r="F10" s="23" t="n">
        <v>0.1563781456840959</v>
      </c>
      <c r="G10" s="23" t="n">
        <v>0.1814160044920113</v>
      </c>
      <c r="H10" s="23" t="n">
        <v>0.2015534872641269</v>
      </c>
      <c r="I10" s="23" t="n">
        <v>0.2145956339010737</v>
      </c>
    </row>
    <row r="11">
      <c r="A11" s="33" t="n">
        <v>45394</v>
      </c>
      <c r="B11" s="34" t="n">
        <v>6</v>
      </c>
      <c r="C11" s="23" t="n">
        <v>0.1666666666666667</v>
      </c>
      <c r="D11" s="23" t="n">
        <v>0.0316629944538319</v>
      </c>
      <c r="E11" s="23" t="n">
        <v>0.1143332702856062</v>
      </c>
      <c r="F11" s="23" t="n">
        <v>0.1505560809532816</v>
      </c>
      <c r="G11" s="23" t="n">
        <v>0.1811462076792132</v>
      </c>
      <c r="H11" s="23" t="n">
        <v>0.186116890486098</v>
      </c>
      <c r="I11" s="23" t="n">
        <v>0.1952411575562701</v>
      </c>
    </row>
    <row r="12">
      <c r="A12" s="33" t="n">
        <v>45397</v>
      </c>
      <c r="B12" s="34" t="n">
        <v>6</v>
      </c>
      <c r="C12" s="23" t="n">
        <v>0.1666666666666667</v>
      </c>
      <c r="D12" s="23" t="n">
        <v>0.02732498268757113</v>
      </c>
      <c r="E12" s="23" t="n">
        <v>0.1307652974262826</v>
      </c>
      <c r="F12" s="23" t="n">
        <v>0.1442270325549685</v>
      </c>
      <c r="G12" s="23" t="n">
        <v>0.1755718425089484</v>
      </c>
      <c r="H12" s="23" t="n">
        <v>0.184694051474348</v>
      </c>
      <c r="I12" s="23" t="n">
        <v>0.1965774671893643</v>
      </c>
    </row>
    <row r="13">
      <c r="A13" s="33" t="n">
        <v>45398</v>
      </c>
      <c r="B13" s="34" t="n">
        <v>6</v>
      </c>
      <c r="C13" s="23" t="n">
        <v>0.1666666666666667</v>
      </c>
      <c r="D13" s="23" t="n">
        <v>0.02919163504730097</v>
      </c>
      <c r="E13" s="23" t="n">
        <v>0.1221494008607604</v>
      </c>
      <c r="F13" s="23" t="n">
        <v>0.1520617175920139</v>
      </c>
      <c r="G13" s="23" t="n">
        <v>0.1669077510104708</v>
      </c>
      <c r="H13" s="23" t="n">
        <v>0.1898702906703335</v>
      </c>
      <c r="I13" s="23" t="n">
        <v>0.199397586775482</v>
      </c>
    </row>
    <row r="14">
      <c r="A14" s="33" t="n">
        <v>45399</v>
      </c>
      <c r="B14" s="34" t="n">
        <v>6</v>
      </c>
      <c r="C14" s="23" t="n">
        <v>0.1666666666666667</v>
      </c>
      <c r="D14" s="23" t="n">
        <v>0.03176854756094627</v>
      </c>
      <c r="E14" s="23" t="n">
        <v>0.1284969876453899</v>
      </c>
      <c r="F14" s="23" t="n">
        <v>0.1456202172512406</v>
      </c>
      <c r="G14" s="23" t="n">
        <v>0.1598695588285162</v>
      </c>
      <c r="H14" s="23" t="n">
        <v>0.194693904079395</v>
      </c>
      <c r="I14" s="23" t="n">
        <v>0.2045914388090744</v>
      </c>
    </row>
    <row r="15">
      <c r="A15" s="33" t="n">
        <v>45400</v>
      </c>
      <c r="B15" s="34" t="n">
        <v>6</v>
      </c>
      <c r="C15" s="23" t="n">
        <v>0.1666666666666667</v>
      </c>
      <c r="D15" s="23" t="n">
        <v>0.0331197564445067</v>
      </c>
      <c r="E15" s="23" t="n">
        <v>0.1307015462917035</v>
      </c>
      <c r="F15" s="23" t="n">
        <v>0.1377078436024068</v>
      </c>
      <c r="G15" s="23" t="n">
        <v>0.1649970885721064</v>
      </c>
      <c r="H15" s="23" t="n">
        <v>0.194635694105976</v>
      </c>
      <c r="I15" s="23" t="n">
        <v>0.2061776186676443</v>
      </c>
    </row>
    <row r="16">
      <c r="A16" s="33" t="n">
        <v>45401</v>
      </c>
      <c r="B16" s="34" t="n">
        <v>6</v>
      </c>
      <c r="C16" s="23" t="n">
        <v>0.1666666666666667</v>
      </c>
      <c r="D16" s="23" t="n">
        <v>0.03332548610824131</v>
      </c>
      <c r="E16" s="23" t="n">
        <v>0.1234915986458139</v>
      </c>
      <c r="F16" s="23" t="n">
        <v>0.1384328203211</v>
      </c>
      <c r="G16" s="23" t="n">
        <v>0.179756786507986</v>
      </c>
      <c r="H16" s="23" t="n">
        <v>0.1909231104741728</v>
      </c>
      <c r="I16" s="23" t="n">
        <v>0.1976914449498411</v>
      </c>
    </row>
    <row r="17">
      <c r="A17" s="33" t="n">
        <v>45404</v>
      </c>
      <c r="B17" s="34" t="n">
        <v>6</v>
      </c>
      <c r="C17" s="23" t="n">
        <v>0.1666666666666667</v>
      </c>
      <c r="D17" s="23" t="n">
        <v>0.04281410438528079</v>
      </c>
      <c r="E17" s="23" t="n">
        <v>0.1187262249824071</v>
      </c>
      <c r="F17" s="23" t="n">
        <v>0.1310449443178631</v>
      </c>
      <c r="G17" s="23" t="n">
        <v>0.166896317548116</v>
      </c>
      <c r="H17" s="23" t="n">
        <v>0.1943436987899039</v>
      </c>
      <c r="I17" s="23" t="n">
        <v>0.2248938274764157</v>
      </c>
    </row>
    <row r="18">
      <c r="A18" s="33" t="n">
        <v>45405</v>
      </c>
      <c r="B18" s="34" t="n">
        <v>6</v>
      </c>
      <c r="C18" s="23" t="n">
        <v>0.1666666666666667</v>
      </c>
      <c r="D18" s="23" t="n">
        <v>0.05034565707247838</v>
      </c>
      <c r="E18" s="23" t="n">
        <v>0.1013362603798797</v>
      </c>
      <c r="F18" s="23" t="n">
        <v>0.1315679583850339</v>
      </c>
      <c r="G18" s="23" t="n">
        <v>0.1666746205974993</v>
      </c>
      <c r="H18" s="23" t="n">
        <v>0.205732795647609</v>
      </c>
      <c r="I18" s="23" t="n">
        <v>0.2266965734465973</v>
      </c>
    </row>
    <row r="19">
      <c r="A19" s="33" t="n">
        <v>45406</v>
      </c>
      <c r="B19" s="34" t="n">
        <v>6</v>
      </c>
      <c r="C19" s="23" t="n">
        <v>0.1666666666666667</v>
      </c>
      <c r="D19" s="23" t="n">
        <v>0.0607624579262189</v>
      </c>
      <c r="E19" s="23" t="n">
        <v>0.08913610169048221</v>
      </c>
      <c r="F19" s="23" t="n">
        <v>0.12370206013897</v>
      </c>
      <c r="G19" s="23" t="n">
        <v>0.1623743472158046</v>
      </c>
      <c r="H19" s="23" t="n">
        <v>0.2178773506769775</v>
      </c>
      <c r="I19" s="23" t="n">
        <v>0.2389255542671816</v>
      </c>
    </row>
    <row r="20">
      <c r="A20" s="33" t="n">
        <v>45407</v>
      </c>
      <c r="B20" s="34" t="n">
        <v>6</v>
      </c>
      <c r="C20" s="23" t="n">
        <v>0.1666666666666667</v>
      </c>
      <c r="D20" s="23" t="n">
        <v>0.05935715318841216</v>
      </c>
      <c r="E20" s="23" t="n">
        <v>0.08665402979655765</v>
      </c>
      <c r="F20" s="23" t="n">
        <v>0.1220432468031392</v>
      </c>
      <c r="G20" s="23" t="n">
        <v>0.1781988660590274</v>
      </c>
      <c r="H20" s="23" t="n">
        <v>0.2063236417827274</v>
      </c>
      <c r="I20" s="23" t="n">
        <v>0.2379249640102502</v>
      </c>
    </row>
    <row r="21">
      <c r="A21" s="33" t="n">
        <v>45408</v>
      </c>
      <c r="B21" s="34" t="n">
        <v>6</v>
      </c>
      <c r="C21" s="23" t="n">
        <v>0.1666666666666667</v>
      </c>
      <c r="D21" s="23" t="n">
        <v>0.0577956945558931</v>
      </c>
      <c r="E21" s="23" t="n">
        <v>0.09127226418715001</v>
      </c>
      <c r="F21" s="23" t="n">
        <v>0.1264773738290041</v>
      </c>
      <c r="G21" s="23" t="n">
        <v>0.1654004500811193</v>
      </c>
      <c r="H21" s="23" t="n">
        <v>0.2082257558048253</v>
      </c>
      <c r="I21" s="23" t="n">
        <v>0.2419229628595851</v>
      </c>
    </row>
    <row r="22">
      <c r="A22" s="33" t="n">
        <v>45411</v>
      </c>
      <c r="B22" s="34" t="n">
        <v>6</v>
      </c>
      <c r="C22" s="23" t="n">
        <v>0.1666666666666667</v>
      </c>
      <c r="D22" s="23" t="n">
        <v>0.05071473516432799</v>
      </c>
      <c r="E22" s="23" t="n">
        <v>0.09853603603603604</v>
      </c>
      <c r="F22" s="23" t="n">
        <v>0.1279036389330507</v>
      </c>
      <c r="G22" s="23" t="n">
        <v>0.1765257904963787</v>
      </c>
      <c r="H22" s="23" t="n">
        <v>0.2031719219219219</v>
      </c>
      <c r="I22" s="23" t="n">
        <v>0.2246621621621622</v>
      </c>
    </row>
    <row r="23">
      <c r="A23" s="33" t="n">
        <v>45412</v>
      </c>
      <c r="B23" s="34" t="n">
        <v>6</v>
      </c>
      <c r="C23" s="23" t="n">
        <v>0.1666666666666667</v>
      </c>
      <c r="D23" s="23" t="n">
        <v>0.06108214513760337</v>
      </c>
      <c r="E23" s="23" t="n">
        <v>0.08348297637027435</v>
      </c>
      <c r="F23" s="23" t="n">
        <v>0.1230348202499732</v>
      </c>
      <c r="G23" s="23" t="n">
        <v>0.1720498519425847</v>
      </c>
      <c r="H23" s="23" t="n">
        <v>0.2142729726837042</v>
      </c>
      <c r="I23" s="23" t="n">
        <v>0.2373734971280429</v>
      </c>
    </row>
    <row r="24">
      <c r="A24" s="33" t="n">
        <v>45418</v>
      </c>
      <c r="B24" s="34" t="n">
        <v>6</v>
      </c>
      <c r="C24" s="23" t="n">
        <v>0.1666666666666667</v>
      </c>
      <c r="D24" s="23" t="n">
        <v>0.06367278978345212</v>
      </c>
      <c r="E24" s="23" t="n">
        <v>0.08706027566344374</v>
      </c>
      <c r="F24" s="23" t="n">
        <v>0.1118670467569871</v>
      </c>
      <c r="G24" s="23" t="n">
        <v>0.1871807682134775</v>
      </c>
      <c r="H24" s="23" t="n">
        <v>0.2162914744173744</v>
      </c>
      <c r="I24" s="23" t="n">
        <v>0.2258206718194375</v>
      </c>
    </row>
    <row r="25">
      <c r="A25" s="33" t="n">
        <v>45419</v>
      </c>
      <c r="B25" s="34" t="n">
        <v>6</v>
      </c>
      <c r="C25" s="23" t="n">
        <v>0.1666666666666667</v>
      </c>
      <c r="D25" s="23" t="n">
        <v>0.07146676752623259</v>
      </c>
      <c r="E25" s="23" t="n">
        <v>0.08325925562632956</v>
      </c>
      <c r="F25" s="23" t="n">
        <v>0.1022594211516887</v>
      </c>
      <c r="G25" s="23" t="n">
        <v>0.1802172673602384</v>
      </c>
      <c r="H25" s="23" t="n">
        <v>0.228835743668655</v>
      </c>
      <c r="I25" s="23" t="n">
        <v>0.234990834799561</v>
      </c>
    </row>
    <row r="26">
      <c r="A26" s="33" t="n">
        <v>45420</v>
      </c>
      <c r="B26" s="34" t="n">
        <v>6</v>
      </c>
      <c r="C26" s="23" t="n">
        <v>0.1666666666666667</v>
      </c>
      <c r="D26" s="23" t="n">
        <v>0.08940869837802284</v>
      </c>
      <c r="E26" s="23" t="n">
        <v>0.06284332809177121</v>
      </c>
      <c r="F26" s="23" t="n">
        <v>0.08780020642980348</v>
      </c>
      <c r="G26" s="23" t="n">
        <v>0.1782777658476437</v>
      </c>
      <c r="H26" s="23" t="n">
        <v>0.2435005784190802</v>
      </c>
      <c r="I26" s="23" t="n">
        <v>0.2577186043128589</v>
      </c>
    </row>
    <row r="27">
      <c r="A27" s="33" t="n">
        <v>45421</v>
      </c>
      <c r="B27" s="34" t="n">
        <v>6</v>
      </c>
      <c r="C27" s="23" t="n">
        <v>0.1666666666666667</v>
      </c>
      <c r="D27" s="23" t="n">
        <v>0.102929760513515</v>
      </c>
      <c r="E27" s="23" t="n">
        <v>0.05108579937238639</v>
      </c>
      <c r="F27" s="23" t="n">
        <v>0.07935276477014173</v>
      </c>
      <c r="G27" s="23" t="n">
        <v>0.1653156506794509</v>
      </c>
      <c r="H27" s="23" t="n">
        <v>0.2390515519868633</v>
      </c>
      <c r="I27" s="23" t="n">
        <v>0.3039542440456725</v>
      </c>
    </row>
    <row r="28">
      <c r="A28" s="33" t="n">
        <v>45422</v>
      </c>
      <c r="B28" s="34" t="n">
        <v>6</v>
      </c>
      <c r="C28" s="23" t="n">
        <v>0.1666666666666667</v>
      </c>
      <c r="D28" s="23" t="n">
        <v>0.1205285483648019</v>
      </c>
      <c r="E28" s="23" t="n">
        <v>0.05087088747580868</v>
      </c>
      <c r="F28" s="23" t="n">
        <v>0.06371089513196232</v>
      </c>
      <c r="G28" s="23" t="n">
        <v>0.138597647859467</v>
      </c>
      <c r="H28" s="23" t="n">
        <v>0.268592756427979</v>
      </c>
      <c r="I28" s="23" t="n">
        <v>0.3212607132983135</v>
      </c>
    </row>
    <row r="29">
      <c r="A29" s="33" t="n">
        <v>45425</v>
      </c>
      <c r="B29" s="34" t="n">
        <v>6</v>
      </c>
      <c r="C29" s="23" t="n">
        <v>0.1666666666666667</v>
      </c>
      <c r="D29" s="23" t="n">
        <v>0.1285489769117113</v>
      </c>
      <c r="E29" s="23" t="n">
        <v>0.05067862844099653</v>
      </c>
      <c r="F29" s="23" t="n">
        <v>0.06513424491299542</v>
      </c>
      <c r="G29" s="23" t="n">
        <v>0.1272708229498487</v>
      </c>
      <c r="H29" s="23" t="n">
        <v>0.2441563554149421</v>
      </c>
      <c r="I29" s="23" t="n">
        <v>0.3672394738552885</v>
      </c>
    </row>
    <row r="30">
      <c r="A30" s="33" t="n">
        <v>45426</v>
      </c>
      <c r="B30" s="34" t="n">
        <v>6</v>
      </c>
      <c r="C30" s="23" t="n">
        <v>0.1666666666666667</v>
      </c>
      <c r="D30" s="23" t="n">
        <v>0.1443475691052918</v>
      </c>
      <c r="E30" s="23" t="n">
        <v>0.05101389573844681</v>
      </c>
      <c r="F30" s="23" t="n">
        <v>0.05765716109193235</v>
      </c>
      <c r="G30" s="23" t="n">
        <v>0.1115249049926025</v>
      </c>
      <c r="H30" s="23" t="n">
        <v>0.2348205738156711</v>
      </c>
      <c r="I30" s="23" t="n">
        <v>0.4103159177279452</v>
      </c>
    </row>
    <row r="31">
      <c r="A31" s="33" t="n">
        <v>45427</v>
      </c>
      <c r="B31" s="34" t="n">
        <v>6</v>
      </c>
      <c r="C31" s="23" t="n">
        <v>0.1666666666666667</v>
      </c>
      <c r="D31" s="23" t="n">
        <v>0.1529929716314101</v>
      </c>
      <c r="E31" s="23" t="n">
        <v>0.04860087326387665</v>
      </c>
      <c r="F31" s="23" t="n">
        <v>0.05469185353432041</v>
      </c>
      <c r="G31" s="23" t="n">
        <v>0.1070912130467598</v>
      </c>
      <c r="H31" s="23" t="n">
        <v>0.2253609796355993</v>
      </c>
      <c r="I31" s="23" t="n">
        <v>0.4352070651138841</v>
      </c>
    </row>
    <row r="32">
      <c r="A32" s="33" t="n">
        <v>45428</v>
      </c>
      <c r="B32" s="34" t="n">
        <v>6</v>
      </c>
      <c r="C32" s="23" t="n">
        <v>0.1666666666666667</v>
      </c>
      <c r="D32" s="23" t="n">
        <v>0.1614876573443751</v>
      </c>
      <c r="E32" s="23" t="n">
        <v>0.04322972264507286</v>
      </c>
      <c r="F32" s="23" t="n">
        <v>0.04878819078178591</v>
      </c>
      <c r="G32" s="23" t="n">
        <v>0.09752900825558847</v>
      </c>
      <c r="H32" s="23" t="n">
        <v>0.2386146149813349</v>
      </c>
      <c r="I32" s="23" t="n">
        <v>0.4435278586633147</v>
      </c>
    </row>
    <row r="33">
      <c r="A33" s="33" t="n">
        <v>45429</v>
      </c>
      <c r="B33" s="34" t="n">
        <v>7</v>
      </c>
      <c r="C33" s="23" t="n">
        <v>0.1428571428571428</v>
      </c>
      <c r="D33" s="23" t="n">
        <v>0.140568445214368</v>
      </c>
      <c r="E33" s="23" t="n">
        <v>0.01714583305513641</v>
      </c>
      <c r="F33" s="23" t="n">
        <v>0.04724451506937119</v>
      </c>
      <c r="G33" s="23" t="n">
        <v>0.06186654559536368</v>
      </c>
      <c r="H33" s="23" t="n">
        <v>0.2291986593133655</v>
      </c>
      <c r="I33" s="23" t="n">
        <v>0.3681012725840266</v>
      </c>
    </row>
    <row r="34">
      <c r="A34" s="33" t="n">
        <v>45432</v>
      </c>
      <c r="B34" s="34" t="n">
        <v>7</v>
      </c>
      <c r="C34" s="23" t="n">
        <v>0.1428571428571428</v>
      </c>
      <c r="D34" s="23" t="n">
        <v>0.1509339900651151</v>
      </c>
      <c r="E34" s="23" t="n">
        <v>0.03408923031466982</v>
      </c>
      <c r="F34" s="23" t="n">
        <v>0.04490323533756833</v>
      </c>
      <c r="G34" s="23" t="n">
        <v>0.05351602895553258</v>
      </c>
      <c r="H34" s="23" t="n">
        <v>0.2213547052740434</v>
      </c>
      <c r="I34" s="23" t="n">
        <v>0.3798788595065741</v>
      </c>
    </row>
    <row r="35">
      <c r="A35" s="33" t="n">
        <v>45433</v>
      </c>
      <c r="B35" s="34" t="n">
        <v>7</v>
      </c>
      <c r="C35" s="23" t="n">
        <v>0.1428571428571428</v>
      </c>
      <c r="D35" s="23" t="n">
        <v>0.1506427705467</v>
      </c>
      <c r="E35" s="23" t="n">
        <v>0.03466235498364491</v>
      </c>
      <c r="F35" s="23" t="n">
        <v>0.04489266740680581</v>
      </c>
      <c r="G35" s="23" t="n">
        <v>0.05286530709564932</v>
      </c>
      <c r="H35" s="23" t="n">
        <v>0.2227719452495734</v>
      </c>
      <c r="I35" s="23" t="n">
        <v>0.3771431126079473</v>
      </c>
    </row>
    <row r="36">
      <c r="A36" s="33" t="n">
        <v>45434</v>
      </c>
      <c r="B36" s="34" t="n">
        <v>7</v>
      </c>
      <c r="C36" s="23" t="n">
        <v>0.1428571428571428</v>
      </c>
      <c r="D36" s="23" t="n">
        <v>0.1508541784343703</v>
      </c>
      <c r="E36" s="23" t="n">
        <v>0.03376559823831661</v>
      </c>
      <c r="F36" s="23" t="n">
        <v>0.04518391648315798</v>
      </c>
      <c r="G36" s="23" t="n">
        <v>0.05312483780797948</v>
      </c>
      <c r="H36" s="23" t="n">
        <v>0.2223013101408012</v>
      </c>
      <c r="I36" s="23" t="n">
        <v>0.3781391107057855</v>
      </c>
    </row>
    <row r="37">
      <c r="A37" s="33" t="n">
        <v>45435</v>
      </c>
      <c r="B37" s="34" t="n">
        <v>7</v>
      </c>
      <c r="C37" s="23" t="n">
        <v>0.1428571428571428</v>
      </c>
      <c r="D37" s="23" t="n">
        <v>0.1489446054273452</v>
      </c>
      <c r="E37" s="23" t="n">
        <v>0.03480000617980132</v>
      </c>
      <c r="F37" s="23" t="n">
        <v>0.04611676734592983</v>
      </c>
      <c r="G37" s="23" t="n">
        <v>0.05403463778639517</v>
      </c>
      <c r="H37" s="23" t="n">
        <v>0.2195181299921208</v>
      </c>
      <c r="I37" s="23" t="n">
        <v>0.3798955613577024</v>
      </c>
    </row>
    <row r="38">
      <c r="A38" s="33" t="n">
        <v>45436</v>
      </c>
      <c r="B38" s="34" t="n">
        <v>7</v>
      </c>
      <c r="C38" s="23" t="n">
        <v>0.1428571428571428</v>
      </c>
      <c r="D38" s="23" t="n">
        <v>0.1487097268637449</v>
      </c>
      <c r="E38" s="23" t="n">
        <v>0.03564295951692864</v>
      </c>
      <c r="F38" s="23" t="n">
        <v>0.0459967262673966</v>
      </c>
      <c r="G38" s="23" t="n">
        <v>0.05325689402661278</v>
      </c>
      <c r="H38" s="23" t="n">
        <v>0.2262399849627593</v>
      </c>
      <c r="I38" s="23" t="n">
        <v>0.3666267239961467</v>
      </c>
    </row>
    <row r="39">
      <c r="A39" s="33" t="n">
        <v>45439</v>
      </c>
      <c r="B39" s="34" t="n">
        <v>7</v>
      </c>
      <c r="C39" s="23" t="n">
        <v>0.1428571428571428</v>
      </c>
      <c r="D39" s="23" t="n">
        <v>0.1508304688932135</v>
      </c>
      <c r="E39" s="23" t="n">
        <v>0.03476270410499008</v>
      </c>
      <c r="F39" s="23" t="n">
        <v>0.04507095986571036</v>
      </c>
      <c r="G39" s="23" t="n">
        <v>0.05173203113077979</v>
      </c>
      <c r="H39" s="23" t="n">
        <v>0.2258965359377385</v>
      </c>
      <c r="I39" s="23" t="n">
        <v>0.3715702731573325</v>
      </c>
    </row>
    <row r="40">
      <c r="A40" s="33" t="n">
        <v>45440</v>
      </c>
      <c r="B40" s="34" t="n">
        <v>7</v>
      </c>
      <c r="C40" s="23" t="n">
        <v>0.1428571428571428</v>
      </c>
      <c r="D40" s="23" t="n">
        <v>0.1519888215981102</v>
      </c>
      <c r="E40" s="23" t="n">
        <v>0.03426899875716148</v>
      </c>
      <c r="F40" s="23" t="n">
        <v>0.04449968171208585</v>
      </c>
      <c r="G40" s="23" t="n">
        <v>0.05096395768286398</v>
      </c>
      <c r="H40" s="23" t="n">
        <v>0.2294439055442723</v>
      </c>
      <c r="I40" s="23" t="n">
        <v>0.3668798690472582</v>
      </c>
    </row>
    <row r="41">
      <c r="A41" s="33" t="n">
        <v>45441</v>
      </c>
      <c r="B41" s="34" t="n">
        <v>7</v>
      </c>
      <c r="C41" s="23" t="n">
        <v>0.1428571428571428</v>
      </c>
      <c r="D41" s="23" t="n">
        <v>0.154814646758657</v>
      </c>
      <c r="E41" s="23" t="n">
        <v>0.03336400103043462</v>
      </c>
      <c r="F41" s="23" t="n">
        <v>0.04324881316012218</v>
      </c>
      <c r="G41" s="23" t="n">
        <v>0.04916645199278696</v>
      </c>
      <c r="H41" s="23" t="n">
        <v>0.2301733338240165</v>
      </c>
      <c r="I41" s="23" t="n">
        <v>0.3706252530085011</v>
      </c>
    </row>
    <row r="42">
      <c r="A42" s="33" t="n">
        <v>45442</v>
      </c>
      <c r="B42" s="34" t="n">
        <v>7</v>
      </c>
      <c r="C42" s="23" t="n">
        <v>0.1428571428571428</v>
      </c>
      <c r="D42" s="23" t="n">
        <v>0.1561760930006259</v>
      </c>
      <c r="E42" s="23" t="n">
        <v>0.03249455989952244</v>
      </c>
      <c r="F42" s="23" t="n">
        <v>0.04260073313568852</v>
      </c>
      <c r="G42" s="23" t="n">
        <v>0.04896090429804448</v>
      </c>
      <c r="H42" s="23" t="n">
        <v>0.2269325135454851</v>
      </c>
      <c r="I42" s="23" t="n">
        <v>0.3794780424400859</v>
      </c>
    </row>
    <row r="43">
      <c r="A43" s="33" t="n">
        <v>45443</v>
      </c>
      <c r="B43" s="34" t="n">
        <v>8</v>
      </c>
      <c r="C43" s="23" t="n">
        <v>0.125</v>
      </c>
      <c r="D43" s="23" t="n">
        <v>0.1503633500909842</v>
      </c>
      <c r="E43" s="23" t="n">
        <v>0.01938059992208804</v>
      </c>
      <c r="F43" s="23" t="n">
        <v>0.03419256775557905</v>
      </c>
      <c r="G43" s="23" t="n">
        <v>0.04605153319605988</v>
      </c>
      <c r="H43" s="23" t="n">
        <v>0.1565978212477044</v>
      </c>
      <c r="I43" s="23" t="n">
        <v>0.375633034670822</v>
      </c>
    </row>
    <row r="44">
      <c r="A44" s="33" t="n">
        <v>45446</v>
      </c>
      <c r="B44" s="34" t="n">
        <v>8</v>
      </c>
      <c r="C44" s="23" t="n">
        <v>0.125</v>
      </c>
      <c r="D44" s="23" t="n">
        <v>0.1431143160278213</v>
      </c>
      <c r="E44" s="23" t="n">
        <v>0.02859367504849037</v>
      </c>
      <c r="F44" s="23" t="n">
        <v>0.04097522993819651</v>
      </c>
      <c r="G44" s="23" t="n">
        <v>0.04887272929513428</v>
      </c>
      <c r="H44" s="23" t="n">
        <v>0.151757471687882</v>
      </c>
      <c r="I44" s="23" t="n">
        <v>0.3715648311005749</v>
      </c>
    </row>
    <row r="45">
      <c r="A45" s="33" t="n">
        <v>45447</v>
      </c>
      <c r="B45" s="34" t="n">
        <v>8</v>
      </c>
      <c r="C45" s="23" t="n">
        <v>0.125</v>
      </c>
      <c r="D45" s="23" t="n">
        <v>0.1413717180210563</v>
      </c>
      <c r="E45" s="23" t="n">
        <v>0.02953719791502132</v>
      </c>
      <c r="F45" s="23" t="n">
        <v>0.04240871636918865</v>
      </c>
      <c r="G45" s="23" t="n">
        <v>0.04788277260043174</v>
      </c>
      <c r="H45" s="23" t="n">
        <v>0.1485777654925499</v>
      </c>
      <c r="I45" s="23" t="n">
        <v>0.3664507976622967</v>
      </c>
    </row>
    <row r="46">
      <c r="A46" s="33" t="n">
        <v>45448</v>
      </c>
      <c r="B46" s="34" t="n">
        <v>8</v>
      </c>
      <c r="C46" s="23" t="n">
        <v>0.125</v>
      </c>
      <c r="D46" s="23" t="n">
        <v>0.1390691020090917</v>
      </c>
      <c r="E46" s="23" t="n">
        <v>0.0276530179404646</v>
      </c>
      <c r="F46" s="23" t="n">
        <v>0.04012588267584899</v>
      </c>
      <c r="G46" s="23" t="n">
        <v>0.05803827631808768</v>
      </c>
      <c r="H46" s="23" t="n">
        <v>0.1418472565311775</v>
      </c>
      <c r="I46" s="23" t="n">
        <v>0.3700875814057938</v>
      </c>
    </row>
    <row r="47">
      <c r="A47" s="33" t="n">
        <v>45449</v>
      </c>
      <c r="B47" s="34" t="n">
        <v>8</v>
      </c>
      <c r="C47" s="23" t="n">
        <v>0.125</v>
      </c>
      <c r="D47" s="23" t="n">
        <v>0.1454117463469272</v>
      </c>
      <c r="E47" s="23" t="n">
        <v>0.02680635924714565</v>
      </c>
      <c r="F47" s="23" t="n">
        <v>0.03713204902418862</v>
      </c>
      <c r="G47" s="23" t="n">
        <v>0.05514622195066432</v>
      </c>
      <c r="H47" s="23" t="n">
        <v>0.1356521582863099</v>
      </c>
      <c r="I47" s="23" t="n">
        <v>0.3987348596484923</v>
      </c>
    </row>
    <row r="48">
      <c r="A48" s="33" t="n">
        <v>45450</v>
      </c>
      <c r="B48" s="34" t="n">
        <v>8</v>
      </c>
      <c r="C48" s="23" t="n">
        <v>0.125</v>
      </c>
      <c r="D48" s="23" t="n">
        <v>0.1458806226357728</v>
      </c>
      <c r="E48" s="23" t="n">
        <v>0.02552022669193192</v>
      </c>
      <c r="F48" s="23" t="n">
        <v>0.03565240570438492</v>
      </c>
      <c r="G48" s="23" t="n">
        <v>0.05741181788154304</v>
      </c>
      <c r="H48" s="23" t="n">
        <v>0.1352009920669413</v>
      </c>
      <c r="I48" s="23" t="n">
        <v>0.3940800491397644</v>
      </c>
    </row>
    <row r="49">
      <c r="A49" s="33" t="n">
        <v>45454</v>
      </c>
      <c r="B49" s="34" t="n">
        <v>8</v>
      </c>
      <c r="C49" s="23" t="n">
        <v>0.125</v>
      </c>
      <c r="D49" s="23" t="n">
        <v>0.1390406361107446</v>
      </c>
      <c r="E49" s="23" t="n">
        <v>0.02443853313497879</v>
      </c>
      <c r="F49" s="23" t="n">
        <v>0.0351659928879942</v>
      </c>
      <c r="G49" s="23" t="n">
        <v>0.06225217203753989</v>
      </c>
      <c r="H49" s="23" t="n">
        <v>0.1448117198776691</v>
      </c>
      <c r="I49" s="23" t="n">
        <v>0.3854198350855266</v>
      </c>
    </row>
    <row r="50">
      <c r="A50" s="33" t="n">
        <v>45455</v>
      </c>
      <c r="B50" s="34" t="n">
        <v>8</v>
      </c>
      <c r="C50" s="23" t="n">
        <v>0.125</v>
      </c>
      <c r="D50" s="23" t="n">
        <v>0.1301878554728225</v>
      </c>
      <c r="E50" s="23" t="n">
        <v>0.0234526547875216</v>
      </c>
      <c r="F50" s="23" t="n">
        <v>0.03394274902214355</v>
      </c>
      <c r="G50" s="23" t="n">
        <v>0.06647568873954568</v>
      </c>
      <c r="H50" s="23" t="n">
        <v>0.1633537031344407</v>
      </c>
      <c r="I50" s="23" t="n">
        <v>0.3681616298667571</v>
      </c>
    </row>
    <row r="51">
      <c r="A51" s="33" t="n">
        <v>45456</v>
      </c>
      <c r="B51" s="34" t="n">
        <v>8</v>
      </c>
      <c r="C51" s="23" t="n">
        <v>0.125</v>
      </c>
      <c r="D51" s="23" t="n">
        <v>0.1337109293318998</v>
      </c>
      <c r="E51" s="23" t="n">
        <v>0.02202154135299524</v>
      </c>
      <c r="F51" s="23" t="n">
        <v>0.03274187552278571</v>
      </c>
      <c r="G51" s="23" t="n">
        <v>0.06481252000784823</v>
      </c>
      <c r="H51" s="23" t="n">
        <v>0.1613936305337836</v>
      </c>
      <c r="I51" s="23" t="n">
        <v>0.386556791309107</v>
      </c>
    </row>
    <row r="52">
      <c r="A52" s="33" t="n">
        <v>45457</v>
      </c>
      <c r="B52" s="34" t="n">
        <v>8</v>
      </c>
      <c r="C52" s="23" t="n">
        <v>0.125</v>
      </c>
      <c r="D52" s="23" t="n">
        <v>0.1285689139473732</v>
      </c>
      <c r="E52" s="23" t="n">
        <v>0.02168159035873177</v>
      </c>
      <c r="F52" s="23" t="n">
        <v>0.03173268416552755</v>
      </c>
      <c r="G52" s="23" t="n">
        <v>0.07162604248260609</v>
      </c>
      <c r="H52" s="23" t="n">
        <v>0.1655134722798179</v>
      </c>
      <c r="I52" s="23" t="n">
        <v>0.3719762244850942</v>
      </c>
    </row>
    <row r="53">
      <c r="A53" s="33" t="n">
        <v>45460</v>
      </c>
      <c r="B53" s="34" t="n">
        <v>8</v>
      </c>
      <c r="C53" s="23" t="n">
        <v>0.125</v>
      </c>
      <c r="D53" s="23" t="n">
        <v>0.1211759594721073</v>
      </c>
      <c r="E53" s="23" t="n">
        <v>0.03038193137977916</v>
      </c>
      <c r="F53" s="23" t="n">
        <v>0.03948497208133287</v>
      </c>
      <c r="G53" s="23" t="n">
        <v>0.06930752675225382</v>
      </c>
      <c r="H53" s="23" t="n">
        <v>0.17149912957974</v>
      </c>
      <c r="I53" s="23" t="n">
        <v>0.3559241254408541</v>
      </c>
    </row>
    <row r="54">
      <c r="A54" s="33" t="n">
        <v>45461</v>
      </c>
      <c r="B54" s="34" t="n">
        <v>8</v>
      </c>
      <c r="C54" s="23" t="n">
        <v>0.125</v>
      </c>
      <c r="D54" s="23" t="n">
        <v>0.1174250642621869</v>
      </c>
      <c r="E54" s="23" t="n">
        <v>0.02979113794668009</v>
      </c>
      <c r="F54" s="23" t="n">
        <v>0.05410519387922997</v>
      </c>
      <c r="G54" s="23" t="n">
        <v>0.06310735280186275</v>
      </c>
      <c r="H54" s="23" t="n">
        <v>0.1758961024715426</v>
      </c>
      <c r="I54" s="23" t="n">
        <v>0.345163365127167</v>
      </c>
    </row>
    <row r="55">
      <c r="A55" s="33" t="n">
        <v>45462</v>
      </c>
      <c r="B55" s="34" t="n">
        <v>8</v>
      </c>
      <c r="C55" s="23" t="n">
        <v>0.125</v>
      </c>
      <c r="D55" s="23" t="n">
        <v>0.112012447319489</v>
      </c>
      <c r="E55" s="23" t="n">
        <v>0.02905613695541567</v>
      </c>
      <c r="F55" s="23" t="n">
        <v>0.05384987579436735</v>
      </c>
      <c r="G55" s="23" t="n">
        <v>0.07406446721270588</v>
      </c>
      <c r="H55" s="23" t="n">
        <v>0.1723851970829135</v>
      </c>
      <c r="I55" s="23" t="n">
        <v>0.3325718048225705</v>
      </c>
    </row>
    <row r="56">
      <c r="A56" s="33" t="n">
        <v>45463</v>
      </c>
      <c r="B56" s="34" t="n">
        <v>8</v>
      </c>
      <c r="C56" s="23" t="n">
        <v>0.125</v>
      </c>
      <c r="D56" s="23" t="n">
        <v>0.1151466871090317</v>
      </c>
      <c r="E56" s="23" t="n">
        <v>0.02850669907428246</v>
      </c>
      <c r="F56" s="23" t="n">
        <v>0.0435452331297855</v>
      </c>
      <c r="G56" s="23" t="n">
        <v>0.07225948097802984</v>
      </c>
      <c r="H56" s="23" t="n">
        <v>0.1837681855235981</v>
      </c>
      <c r="I56" s="23" t="n">
        <v>0.3401099258325707</v>
      </c>
    </row>
    <row r="57">
      <c r="A57" s="33" t="n">
        <v>45464</v>
      </c>
      <c r="B57" s="34" t="n">
        <v>9</v>
      </c>
      <c r="C57" s="23" t="n">
        <v>0.1111111111111111</v>
      </c>
      <c r="D57" s="23" t="n">
        <v>0.1021431483502913</v>
      </c>
      <c r="E57" s="23" t="n">
        <v>0.02420055103659653</v>
      </c>
      <c r="F57" s="23" t="n">
        <v>0.02696042768700746</v>
      </c>
      <c r="G57" s="23" t="n">
        <v>0.06820838007444158</v>
      </c>
      <c r="H57" s="23" t="n">
        <v>0.1544216697253735</v>
      </c>
      <c r="I57" s="23" t="n">
        <v>0.3115844414300667</v>
      </c>
    </row>
    <row r="58">
      <c r="A58" s="33" t="n">
        <v>45467</v>
      </c>
      <c r="B58" s="34" t="n">
        <v>9</v>
      </c>
      <c r="C58" s="23" t="n">
        <v>0.1111111111111111</v>
      </c>
      <c r="D58" s="23" t="n">
        <v>0.1026264903632981</v>
      </c>
      <c r="E58" s="23" t="n">
        <v>0.02528204431154003</v>
      </c>
      <c r="F58" s="23" t="n">
        <v>0.0470662860767523</v>
      </c>
      <c r="G58" s="23" t="n">
        <v>0.06497213538126954</v>
      </c>
      <c r="H58" s="23" t="n">
        <v>0.144420280005437</v>
      </c>
      <c r="I58" s="23" t="n">
        <v>0.3254859317656654</v>
      </c>
    </row>
    <row r="59">
      <c r="A59" s="33" t="n">
        <v>45468</v>
      </c>
      <c r="B59" s="34" t="n">
        <v>10</v>
      </c>
      <c r="C59" s="23" t="n">
        <v>0.1</v>
      </c>
      <c r="D59" s="23" t="n">
        <v>0.0952194484181068</v>
      </c>
      <c r="E59" s="23" t="n">
        <v>0.006599335607428712</v>
      </c>
      <c r="F59" s="23" t="n">
        <v>0.03250618687713196</v>
      </c>
      <c r="G59" s="23" t="n">
        <v>0.06644371613938868</v>
      </c>
      <c r="H59" s="23" t="n">
        <v>0.1319989744275745</v>
      </c>
      <c r="I59" s="23" t="n">
        <v>0.2989499030165206</v>
      </c>
    </row>
    <row r="60">
      <c r="A60" s="33" t="n">
        <v>45469</v>
      </c>
      <c r="B60" s="34" t="n">
        <v>10</v>
      </c>
      <c r="C60" s="23" t="n">
        <v>0.09999999999999999</v>
      </c>
      <c r="D60" s="23" t="n">
        <v>0.09250713262587808</v>
      </c>
      <c r="E60" s="23" t="n">
        <v>0.01589825119236884</v>
      </c>
      <c r="F60" s="23" t="n">
        <v>0.03191340129056392</v>
      </c>
      <c r="G60" s="23" t="n">
        <v>0.06928704420053901</v>
      </c>
      <c r="H60" s="23" t="n">
        <v>0.1320968263009785</v>
      </c>
      <c r="I60" s="23" t="n">
        <v>0.2972207816498474</v>
      </c>
    </row>
    <row r="61">
      <c r="A61" s="33" t="n">
        <v>45470</v>
      </c>
      <c r="B61" s="34" t="n">
        <v>10</v>
      </c>
      <c r="C61" s="23" t="n">
        <v>0.1</v>
      </c>
      <c r="D61" s="23" t="n">
        <v>0.08974466258450541</v>
      </c>
      <c r="E61" s="23" t="n">
        <v>0.01926459788567622</v>
      </c>
      <c r="F61" s="23" t="n">
        <v>0.03148429627858521</v>
      </c>
      <c r="G61" s="23" t="n">
        <v>0.07178539101327003</v>
      </c>
      <c r="H61" s="23" t="n">
        <v>0.1346216248526976</v>
      </c>
      <c r="I61" s="23" t="n">
        <v>0.2906768227076324</v>
      </c>
    </row>
    <row r="62">
      <c r="A62" s="33" t="n">
        <v>45471</v>
      </c>
      <c r="B62" s="34" t="n">
        <v>10</v>
      </c>
      <c r="C62" s="23" t="n">
        <v>0.1</v>
      </c>
      <c r="D62" s="23" t="n">
        <v>0.08963368198338777</v>
      </c>
      <c r="E62" s="23" t="n">
        <v>0.02194393667441418</v>
      </c>
      <c r="F62" s="23" t="n">
        <v>0.03047791958576994</v>
      </c>
      <c r="G62" s="23" t="n">
        <v>0.06899767574587053</v>
      </c>
      <c r="H62" s="23" t="n">
        <v>0.1411053854870594</v>
      </c>
      <c r="I62" s="23" t="n">
        <v>0.294034690113235</v>
      </c>
    </row>
    <row r="63">
      <c r="A63" s="33" t="n">
        <v>45474</v>
      </c>
      <c r="B63" s="34" t="n">
        <v>10</v>
      </c>
      <c r="C63" s="23" t="n">
        <v>0.1</v>
      </c>
      <c r="D63" s="23" t="n">
        <v>0.09282757334028671</v>
      </c>
      <c r="E63" s="23" t="n">
        <v>0.02220986588111885</v>
      </c>
      <c r="F63" s="23" t="n">
        <v>0.03035420634826742</v>
      </c>
      <c r="G63" s="23" t="n">
        <v>0.06717183069709481</v>
      </c>
      <c r="H63" s="23" t="n">
        <v>0.1412448093508583</v>
      </c>
      <c r="I63" s="23" t="n">
        <v>0.3086193366222233</v>
      </c>
    </row>
    <row r="64">
      <c r="A64" s="33" t="n">
        <v>45475</v>
      </c>
      <c r="B64" s="34" t="n">
        <v>10</v>
      </c>
      <c r="C64" s="23" t="n">
        <v>0.1</v>
      </c>
      <c r="D64" s="23" t="n">
        <v>0.09783731547232395</v>
      </c>
      <c r="E64" s="23" t="n">
        <v>0.0218529082486421</v>
      </c>
      <c r="F64" s="23" t="n">
        <v>0.02671284629778346</v>
      </c>
      <c r="G64" s="23" t="n">
        <v>0.06679695072018862</v>
      </c>
      <c r="H64" s="23" t="n">
        <v>0.1448457360323759</v>
      </c>
      <c r="I64" s="23" t="n">
        <v>0.323817850233997</v>
      </c>
    </row>
    <row r="65">
      <c r="A65" s="33" t="n">
        <v>45476</v>
      </c>
      <c r="B65" s="34" t="n">
        <v>11</v>
      </c>
      <c r="C65" s="23" t="n">
        <v>0.0909090909090909</v>
      </c>
      <c r="D65" s="23" t="n">
        <v>0.09462763060897274</v>
      </c>
      <c r="E65" s="23" t="n">
        <v>0.02040801208924709</v>
      </c>
      <c r="F65" s="23" t="n">
        <v>0.02576002251918575</v>
      </c>
      <c r="G65" s="23" t="n">
        <v>0.05291267889418946</v>
      </c>
      <c r="H65" s="23" t="n">
        <v>0.1253148241429376</v>
      </c>
      <c r="I65" s="23" t="n">
        <v>0.3267652374885182</v>
      </c>
    </row>
    <row r="66">
      <c r="A66" s="33" t="n">
        <v>45477</v>
      </c>
      <c r="B66" s="34" t="n">
        <v>11</v>
      </c>
      <c r="C66" s="23" t="n">
        <v>0.09090909090909091</v>
      </c>
      <c r="D66" s="23" t="n">
        <v>0.09394860116717174</v>
      </c>
      <c r="E66" s="23" t="n">
        <v>0.01962059023377959</v>
      </c>
      <c r="F66" s="23" t="n">
        <v>0.02672396378528272</v>
      </c>
      <c r="G66" s="23" t="n">
        <v>0.05150129469450719</v>
      </c>
      <c r="H66" s="23" t="n">
        <v>0.1242025232769544</v>
      </c>
      <c r="I66" s="23" t="n">
        <v>0.3312948781518006</v>
      </c>
    </row>
    <row r="67">
      <c r="A67" s="33" t="n">
        <v>45478</v>
      </c>
      <c r="B67" s="34" t="n">
        <v>11</v>
      </c>
      <c r="C67" s="23" t="n">
        <v>0.09090909090909091</v>
      </c>
      <c r="D67" s="23" t="n">
        <v>0.09316365191975899</v>
      </c>
      <c r="E67" s="23" t="n">
        <v>0.01945448898947316</v>
      </c>
      <c r="F67" s="23" t="n">
        <v>0.0256156721079742</v>
      </c>
      <c r="G67" s="23" t="n">
        <v>0.05715693168797142</v>
      </c>
      <c r="H67" s="23" t="n">
        <v>0.1236430940133718</v>
      </c>
      <c r="I67" s="23" t="n">
        <v>0.3305906668427684</v>
      </c>
    </row>
    <row r="68">
      <c r="A68" s="33" t="n">
        <v>45481</v>
      </c>
      <c r="B68" s="34" t="n">
        <v>11</v>
      </c>
      <c r="C68" s="23" t="n">
        <v>0.09090909090909091</v>
      </c>
      <c r="D68" s="23" t="n">
        <v>0.09279066976271202</v>
      </c>
      <c r="E68" s="23" t="n">
        <v>0.01896500280181354</v>
      </c>
      <c r="F68" s="23" t="n">
        <v>0.02606778205529397</v>
      </c>
      <c r="G68" s="23" t="n">
        <v>0.05706966691167373</v>
      </c>
      <c r="H68" s="23" t="n">
        <v>0.1263636099002263</v>
      </c>
      <c r="I68" s="23" t="n">
        <v>0.331123418066967</v>
      </c>
    </row>
    <row r="69">
      <c r="A69" s="33" t="n">
        <v>45482</v>
      </c>
      <c r="B69" s="34" t="n">
        <v>11</v>
      </c>
      <c r="C69" s="23" t="n">
        <v>0.0909090909090909</v>
      </c>
      <c r="D69" s="23" t="n">
        <v>0.0946941273100383</v>
      </c>
      <c r="E69" s="23" t="n">
        <v>0.01857192705106568</v>
      </c>
      <c r="F69" s="23" t="n">
        <v>0.02444152477799853</v>
      </c>
      <c r="G69" s="23" t="n">
        <v>0.05553063157370022</v>
      </c>
      <c r="H69" s="23" t="n">
        <v>0.1294053137929316</v>
      </c>
      <c r="I69" s="23" t="n">
        <v>0.3370363249232697</v>
      </c>
    </row>
    <row r="70">
      <c r="A70" s="33" t="n">
        <v>45483</v>
      </c>
      <c r="B70" s="34" t="n">
        <v>11</v>
      </c>
      <c r="C70" s="23" t="n">
        <v>0.09090909090909091</v>
      </c>
      <c r="D70" s="23" t="n">
        <v>0.08817889533599479</v>
      </c>
      <c r="E70" s="23" t="n">
        <v>0.01433467221874194</v>
      </c>
      <c r="F70" s="23" t="n">
        <v>0.02317701092436693</v>
      </c>
      <c r="G70" s="23" t="n">
        <v>0.0609365944517214</v>
      </c>
      <c r="H70" s="23" t="n">
        <v>0.1361023359586207</v>
      </c>
      <c r="I70" s="23" t="n">
        <v>0.3104349311741433</v>
      </c>
    </row>
    <row r="71">
      <c r="A71" s="33" t="n">
        <v>45484</v>
      </c>
      <c r="B71" s="34" t="n">
        <v>11</v>
      </c>
      <c r="C71" s="23" t="n">
        <v>0.09090909090909091</v>
      </c>
      <c r="D71" s="23" t="n">
        <v>0.09010489456736985</v>
      </c>
      <c r="E71" s="23" t="n">
        <v>0.01317308897083973</v>
      </c>
      <c r="F71" s="23" t="n">
        <v>0.02387072086258335</v>
      </c>
      <c r="G71" s="23" t="n">
        <v>0.06337644218233045</v>
      </c>
      <c r="H71" s="23" t="n">
        <v>0.1262889478122174</v>
      </c>
      <c r="I71" s="23" t="n">
        <v>0.3226018374596595</v>
      </c>
    </row>
    <row r="72">
      <c r="A72" s="33" t="n">
        <v>45485</v>
      </c>
      <c r="B72" s="34" t="n">
        <v>11</v>
      </c>
      <c r="C72" s="23" t="n">
        <v>0.09090909090909091</v>
      </c>
      <c r="D72" s="23" t="n">
        <v>0.09003834098709847</v>
      </c>
      <c r="E72" s="23" t="n">
        <v>0.01267857931929965</v>
      </c>
      <c r="F72" s="23" t="n">
        <v>0.02414368603350816</v>
      </c>
      <c r="G72" s="23" t="n">
        <v>0.06303599288911851</v>
      </c>
      <c r="H72" s="23" t="n">
        <v>0.1307287293888109</v>
      </c>
      <c r="I72" s="23" t="n">
        <v>0.3182765289924778</v>
      </c>
    </row>
    <row r="73">
      <c r="A73" s="33" t="n">
        <v>45488</v>
      </c>
      <c r="B73" s="34" t="n">
        <v>11</v>
      </c>
      <c r="C73" s="23" t="n">
        <v>0.09090909090909091</v>
      </c>
      <c r="D73" s="23" t="n">
        <v>0.09068646842816992</v>
      </c>
      <c r="E73" s="23" t="n">
        <v>0.01327824275170392</v>
      </c>
      <c r="F73" s="23" t="n">
        <v>0.02482784193240809</v>
      </c>
      <c r="G73" s="23" t="n">
        <v>0.05273157467245824</v>
      </c>
      <c r="H73" s="23" t="n">
        <v>0.1295299643323798</v>
      </c>
      <c r="I73" s="23" t="n">
        <v>0.3194335558145284</v>
      </c>
    </row>
    <row r="74">
      <c r="A74" s="33" t="n">
        <v>45489</v>
      </c>
      <c r="B74" s="34" t="n">
        <v>11</v>
      </c>
      <c r="C74" s="23" t="n">
        <v>0.09090909090909091</v>
      </c>
      <c r="D74" s="23" t="n">
        <v>0.09542891461448516</v>
      </c>
      <c r="E74" s="23" t="n">
        <v>0.01190705966163316</v>
      </c>
      <c r="F74" s="23" t="n">
        <v>0.02421944363535551</v>
      </c>
      <c r="G74" s="23" t="n">
        <v>0.03947964078790835</v>
      </c>
      <c r="H74" s="23" t="n">
        <v>0.1287036289685812</v>
      </c>
      <c r="I74" s="23" t="n">
        <v>0.328646076425566</v>
      </c>
    </row>
    <row r="75">
      <c r="A75" s="33" t="n">
        <v>45490</v>
      </c>
      <c r="B75" s="34" t="n">
        <v>11</v>
      </c>
      <c r="C75" s="23" t="n">
        <v>0.09090909090909093</v>
      </c>
      <c r="D75" s="23" t="n">
        <v>0.09772145883562983</v>
      </c>
      <c r="E75" s="23" t="n">
        <v>0.01675589671606472</v>
      </c>
      <c r="F75" s="23" t="n">
        <v>0.02452387164101226</v>
      </c>
      <c r="G75" s="23" t="n">
        <v>0.03549604435903183</v>
      </c>
      <c r="H75" s="23" t="n">
        <v>0.1313868076709671</v>
      </c>
      <c r="I75" s="23" t="n">
        <v>0.3393987719691486</v>
      </c>
    </row>
    <row r="76">
      <c r="A76" s="33" t="n">
        <v>45491</v>
      </c>
      <c r="B76" s="34" t="n">
        <v>11</v>
      </c>
      <c r="C76" s="23" t="n">
        <v>0.09090909090909091</v>
      </c>
      <c r="D76" s="23" t="n">
        <v>0.09669655729790903</v>
      </c>
      <c r="E76" s="23" t="n">
        <v>0.01981961172933563</v>
      </c>
      <c r="F76" s="23" t="n">
        <v>0.02535569124621397</v>
      </c>
      <c r="G76" s="23" t="n">
        <v>0.04483628330123202</v>
      </c>
      <c r="H76" s="23" t="n">
        <v>0.131262084561193</v>
      </c>
      <c r="I76" s="23" t="n">
        <v>0.3392283018094709</v>
      </c>
    </row>
    <row r="77">
      <c r="A77" s="33" t="n">
        <v>45492</v>
      </c>
      <c r="B77" s="34" t="n">
        <v>11</v>
      </c>
      <c r="C77" s="23" t="n">
        <v>0.0909090909090909</v>
      </c>
      <c r="D77" s="23" t="n">
        <v>0.09803063762478723</v>
      </c>
      <c r="E77" s="23" t="n">
        <v>0.0149679746994417</v>
      </c>
      <c r="F77" s="23" t="n">
        <v>0.02191344986508652</v>
      </c>
      <c r="G77" s="23" t="n">
        <v>0.05523650770091452</v>
      </c>
      <c r="H77" s="23" t="n">
        <v>0.137767781367859</v>
      </c>
      <c r="I77" s="23" t="n">
        <v>0.3394491572189176</v>
      </c>
    </row>
    <row r="78">
      <c r="A78" s="33" t="n">
        <v>45495</v>
      </c>
      <c r="B78" s="34" t="n">
        <v>11</v>
      </c>
      <c r="C78" s="23" t="n">
        <v>0.09090909090909091</v>
      </c>
      <c r="D78" s="23" t="n">
        <v>0.0916754411497685</v>
      </c>
      <c r="E78" s="23" t="n">
        <v>0.01557122619482084</v>
      </c>
      <c r="F78" s="23" t="n">
        <v>0.02602725749424124</v>
      </c>
      <c r="G78" s="23" t="n">
        <v>0.05688520537301484</v>
      </c>
      <c r="H78" s="23" t="n">
        <v>0.1393915135247558</v>
      </c>
      <c r="I78" s="23" t="n">
        <v>0.316918404106283</v>
      </c>
    </row>
    <row r="79">
      <c r="A79" s="33" t="n">
        <v>45496</v>
      </c>
      <c r="B79" s="34" t="n">
        <v>11</v>
      </c>
      <c r="C79" s="23" t="n">
        <v>0.09090909090909091</v>
      </c>
      <c r="D79" s="23" t="n">
        <v>0.08984270879968016</v>
      </c>
      <c r="E79" s="23" t="n">
        <v>0.01515338817796458</v>
      </c>
      <c r="F79" s="23" t="n">
        <v>0.02744158967017454</v>
      </c>
      <c r="G79" s="23" t="n">
        <v>0.05586814957191678</v>
      </c>
      <c r="H79" s="23" t="n">
        <v>0.1443878629336162</v>
      </c>
      <c r="I79" s="23" t="n">
        <v>0.3062579505441262</v>
      </c>
    </row>
    <row r="80">
      <c r="A80" s="33" t="n">
        <v>45497</v>
      </c>
      <c r="B80" s="34" t="n">
        <v>11</v>
      </c>
      <c r="C80" s="23" t="n">
        <v>0.0909090909090909</v>
      </c>
      <c r="D80" s="23" t="n">
        <v>0.09249735606111459</v>
      </c>
      <c r="E80" s="23" t="n">
        <v>0.01556234683341696</v>
      </c>
      <c r="F80" s="23" t="n">
        <v>0.02898917311815027</v>
      </c>
      <c r="G80" s="23" t="n">
        <v>0.04801811253156631</v>
      </c>
      <c r="H80" s="23" t="n">
        <v>0.1423542144394362</v>
      </c>
      <c r="I80" s="23" t="n">
        <v>0.313154391915707</v>
      </c>
    </row>
    <row r="81">
      <c r="A81" s="33" t="n">
        <v>45498</v>
      </c>
      <c r="B81" s="34" t="n">
        <v>11</v>
      </c>
      <c r="C81" s="23" t="n">
        <v>0.09090909090909091</v>
      </c>
      <c r="D81" s="23" t="n">
        <v>0.09493939699283195</v>
      </c>
      <c r="E81" s="23" t="n">
        <v>0.01545107790866752</v>
      </c>
      <c r="F81" s="23" t="n">
        <v>0.02927528291151245</v>
      </c>
      <c r="G81" s="23" t="n">
        <v>0.04201209617937749</v>
      </c>
      <c r="H81" s="23" t="n">
        <v>0.1450867173835163</v>
      </c>
      <c r="I81" s="23" t="n">
        <v>0.3206541209196468</v>
      </c>
    </row>
    <row r="82">
      <c r="A82" s="33" t="n">
        <v>45499</v>
      </c>
      <c r="B82" s="34" t="n">
        <v>11</v>
      </c>
      <c r="C82" s="23" t="n">
        <v>0.09090909090909091</v>
      </c>
      <c r="D82" s="23" t="n">
        <v>0.09301584611311645</v>
      </c>
      <c r="E82" s="23" t="n">
        <v>0.01480627715222981</v>
      </c>
      <c r="F82" s="23" t="n">
        <v>0.02782524240543569</v>
      </c>
      <c r="G82" s="23" t="n">
        <v>0.04719148215912113</v>
      </c>
      <c r="H82" s="23" t="n">
        <v>0.1396319789794389</v>
      </c>
      <c r="I82" s="23" t="n">
        <v>0.3104723984234579</v>
      </c>
    </row>
    <row r="83">
      <c r="A83" s="33" t="n">
        <v>45502</v>
      </c>
      <c r="B83" s="34" t="n">
        <v>12</v>
      </c>
      <c r="C83" s="23" t="n">
        <v>0.08333333333333333</v>
      </c>
      <c r="D83" s="23" t="n">
        <v>0.08219925843652544</v>
      </c>
      <c r="E83" s="23" t="n">
        <v>0.01371591865198178</v>
      </c>
      <c r="F83" s="23" t="n">
        <v>0.02822015205378732</v>
      </c>
      <c r="G83" s="23" t="n">
        <v>0.04351270020541663</v>
      </c>
      <c r="H83" s="23" t="n">
        <v>0.1211503331387813</v>
      </c>
      <c r="I83" s="23" t="n">
        <v>0.2790634214376132</v>
      </c>
    </row>
    <row r="84">
      <c r="A84" s="33" t="n">
        <v>45503</v>
      </c>
      <c r="B84" s="34" t="n">
        <v>12</v>
      </c>
      <c r="C84" s="23" t="n">
        <v>0.08333333333333336</v>
      </c>
      <c r="D84" s="23" t="n">
        <v>0.08086323067950379</v>
      </c>
      <c r="E84" s="23" t="n">
        <v>0.01338923808410598</v>
      </c>
      <c r="F84" s="23" t="n">
        <v>0.02776070554610822</v>
      </c>
      <c r="G84" s="23" t="n">
        <v>0.04366678858125356</v>
      </c>
      <c r="H84" s="23" t="n">
        <v>0.1268414444239159</v>
      </c>
      <c r="I84" s="23" t="n">
        <v>0.2710877671908994</v>
      </c>
    </row>
    <row r="85">
      <c r="A85" s="33" t="n">
        <v>45504</v>
      </c>
      <c r="B85" s="34" t="n">
        <v>12</v>
      </c>
      <c r="C85" s="23" t="n">
        <v>0.08333333333333333</v>
      </c>
      <c r="D85" s="23" t="n">
        <v>0.07898014691046161</v>
      </c>
      <c r="E85" s="23" t="n">
        <v>0.01347756630355426</v>
      </c>
      <c r="F85" s="23" t="n">
        <v>0.02811530927201625</v>
      </c>
      <c r="G85" s="23" t="n">
        <v>0.04685342740040913</v>
      </c>
      <c r="H85" s="23" t="n">
        <v>0.1256415307103462</v>
      </c>
      <c r="I85" s="23" t="n">
        <v>0.2719367360363161</v>
      </c>
    </row>
    <row r="86">
      <c r="A86" s="33" t="n">
        <v>45505</v>
      </c>
      <c r="B86" s="34" t="n">
        <v>12</v>
      </c>
      <c r="C86" s="23" t="n">
        <v>0.08333333333333336</v>
      </c>
      <c r="D86" s="23" t="n">
        <v>0.07863901800462594</v>
      </c>
      <c r="E86" s="23" t="n">
        <v>0.01316678656290192</v>
      </c>
      <c r="F86" s="23" t="n">
        <v>0.02803482803973289</v>
      </c>
      <c r="G86" s="23" t="n">
        <v>0.0467649815795784</v>
      </c>
      <c r="H86" s="23" t="n">
        <v>0.1236657002303461</v>
      </c>
      <c r="I86" s="23" t="n">
        <v>0.2703260450955173</v>
      </c>
    </row>
    <row r="87">
      <c r="A87" s="33" t="n">
        <v>45506</v>
      </c>
      <c r="B87" s="34" t="n">
        <v>12</v>
      </c>
      <c r="C87" s="23" t="n">
        <v>0.08333333333333333</v>
      </c>
      <c r="D87" s="23" t="n">
        <v>0.07533431506112791</v>
      </c>
      <c r="E87" s="23" t="n">
        <v>0.01272145997069402</v>
      </c>
      <c r="F87" s="23" t="n">
        <v>0.0270028674991061</v>
      </c>
      <c r="G87" s="23" t="n">
        <v>0.05308378846410017</v>
      </c>
      <c r="H87" s="23" t="n">
        <v>0.1382148591139498</v>
      </c>
      <c r="I87" s="23" t="n">
        <v>0.2558944984680964</v>
      </c>
    </row>
    <row r="88">
      <c r="A88" s="33" t="n">
        <v>45509</v>
      </c>
      <c r="B88" s="34" t="n">
        <v>12</v>
      </c>
      <c r="C88" s="23" t="n">
        <v>0.08333333333333333</v>
      </c>
      <c r="D88" s="23" t="n">
        <v>0.07530051034901399</v>
      </c>
      <c r="E88" s="23" t="n">
        <v>0.01330869431309673</v>
      </c>
      <c r="F88" s="23" t="n">
        <v>0.02798159320252912</v>
      </c>
      <c r="G88" s="23" t="n">
        <v>0.05884196604887947</v>
      </c>
      <c r="H88" s="23" t="n">
        <v>0.1172889830969074</v>
      </c>
      <c r="I88" s="23" t="n">
        <v>0.2632606844574886</v>
      </c>
    </row>
    <row r="89">
      <c r="A89" s="33" t="n">
        <v>45510</v>
      </c>
      <c r="B89" s="34" t="n">
        <v>12</v>
      </c>
      <c r="C89" s="23" t="n">
        <v>0.08333333333333333</v>
      </c>
      <c r="D89" s="23" t="n">
        <v>0.07321170351754773</v>
      </c>
      <c r="E89" s="23" t="n">
        <v>0.01290880177003388</v>
      </c>
      <c r="F89" s="23" t="n">
        <v>0.02630419000207426</v>
      </c>
      <c r="G89" s="23" t="n">
        <v>0.06088985687616677</v>
      </c>
      <c r="H89" s="23" t="n">
        <v>0.1229585839728964</v>
      </c>
      <c r="I89" s="23" t="n">
        <v>0.2510475005185646</v>
      </c>
    </row>
    <row r="90">
      <c r="A90" s="33" t="n">
        <v>45511</v>
      </c>
      <c r="B90" s="34" t="n">
        <v>12</v>
      </c>
      <c r="C90" s="23" t="n">
        <v>0.08333333333333333</v>
      </c>
      <c r="D90" s="23" t="n">
        <v>0.07271953410630605</v>
      </c>
      <c r="E90" s="23" t="n">
        <v>0.01258248651147927</v>
      </c>
      <c r="F90" s="23" t="n">
        <v>0.02570638371654218</v>
      </c>
      <c r="G90" s="23" t="n">
        <v>0.06026742458497512</v>
      </c>
      <c r="H90" s="23" t="n">
        <v>0.1377138019779764</v>
      </c>
      <c r="I90" s="23" t="n">
        <v>0.2450746075834895</v>
      </c>
    </row>
    <row r="91">
      <c r="A91" s="33" t="n">
        <v>45512</v>
      </c>
      <c r="B91" s="34" t="n">
        <v>12</v>
      </c>
      <c r="C91" s="23" t="n">
        <v>0.08333333333333333</v>
      </c>
      <c r="D91" s="23" t="n">
        <v>0.0696739402349809</v>
      </c>
      <c r="E91" s="23" t="n">
        <v>0.01192500997207818</v>
      </c>
      <c r="F91" s="23" t="n">
        <v>0.02418587953729557</v>
      </c>
      <c r="G91" s="23" t="n">
        <v>0.07672596729158357</v>
      </c>
      <c r="H91" s="23" t="n">
        <v>0.1298571998404467</v>
      </c>
      <c r="I91" s="23" t="n">
        <v>0.2312437175907459</v>
      </c>
    </row>
    <row r="92">
      <c r="A92" s="33" t="n">
        <v>45513</v>
      </c>
      <c r="B92" s="34" t="n">
        <v>12</v>
      </c>
      <c r="C92" s="23" t="n">
        <v>0.08333333333333333</v>
      </c>
      <c r="D92" s="23" t="n">
        <v>0.06976864530134161</v>
      </c>
      <c r="E92" s="23" t="n">
        <v>0.0117897704518878</v>
      </c>
      <c r="F92" s="23" t="n">
        <v>0.02403687507008186</v>
      </c>
      <c r="G92" s="23" t="n">
        <v>0.07582616496067407</v>
      </c>
      <c r="H92" s="23" t="n">
        <v>0.132666955003444</v>
      </c>
      <c r="I92" s="23" t="n">
        <v>0.2299710061351659</v>
      </c>
    </row>
    <row r="93">
      <c r="A93" s="33" t="n">
        <v>45516</v>
      </c>
      <c r="B93" s="34" t="n">
        <v>13</v>
      </c>
      <c r="C93" s="23" t="n">
        <v>0.07692307692307693</v>
      </c>
      <c r="D93" s="23" t="n">
        <v>0.07146479167664459</v>
      </c>
      <c r="E93" s="23" t="n">
        <v>0.002408634629656151</v>
      </c>
      <c r="F93" s="23" t="n">
        <v>0.01912260601247282</v>
      </c>
      <c r="G93" s="23" t="n">
        <v>0.04962438319424011</v>
      </c>
      <c r="H93" s="23" t="n">
        <v>0.1308474488002396</v>
      </c>
      <c r="I93" s="23" t="n">
        <v>0.233396695613681</v>
      </c>
    </row>
    <row r="94">
      <c r="A94" s="33" t="n">
        <v>45517</v>
      </c>
      <c r="B94" s="34" t="n">
        <v>13</v>
      </c>
      <c r="C94" s="23" t="n">
        <v>0.07692307692307694</v>
      </c>
      <c r="D94" s="23" t="n">
        <v>0.07167553062354785</v>
      </c>
      <c r="E94" s="23" t="n">
        <v>0.002455716453629424</v>
      </c>
      <c r="F94" s="23" t="n">
        <v>0.01881289481567313</v>
      </c>
      <c r="G94" s="23" t="n">
        <v>0.04907153508613113</v>
      </c>
      <c r="H94" s="23" t="n">
        <v>0.1323321735065722</v>
      </c>
      <c r="I94" s="23" t="n">
        <v>0.238421757779453</v>
      </c>
    </row>
    <row r="95">
      <c r="A95" s="33" t="n">
        <v>45518</v>
      </c>
      <c r="B95" s="34" t="n">
        <v>13</v>
      </c>
      <c r="C95" s="23" t="n">
        <v>0.07692307692307693</v>
      </c>
      <c r="D95" s="23" t="n">
        <v>0.07309227044536032</v>
      </c>
      <c r="E95" s="23" t="n">
        <v>0.005029269809509646</v>
      </c>
      <c r="F95" s="23" t="n">
        <v>0.01869076750442765</v>
      </c>
      <c r="G95" s="23" t="n">
        <v>0.04969445833952979</v>
      </c>
      <c r="H95" s="23" t="n">
        <v>0.1345194478618844</v>
      </c>
      <c r="I95" s="23" t="n">
        <v>0.2421012072951451</v>
      </c>
    </row>
    <row r="96">
      <c r="A96" s="33" t="n">
        <v>45519</v>
      </c>
      <c r="B96" s="34" t="n">
        <v>13</v>
      </c>
      <c r="C96" s="23" t="n">
        <v>0.07692307692307693</v>
      </c>
      <c r="D96" s="23" t="n">
        <v>0.07238598995664412</v>
      </c>
      <c r="E96" s="23" t="n">
        <v>0.01007211929747632</v>
      </c>
      <c r="F96" s="23" t="n">
        <v>0.01846998129748297</v>
      </c>
      <c r="G96" s="23" t="n">
        <v>0.04953011171681133</v>
      </c>
      <c r="H96" s="23" t="n">
        <v>0.1342063389241568</v>
      </c>
      <c r="I96" s="23" t="n">
        <v>0.2417375070175963</v>
      </c>
    </row>
    <row r="97">
      <c r="A97" s="33" t="n">
        <v>45520</v>
      </c>
      <c r="B97" s="34" t="n">
        <v>14</v>
      </c>
      <c r="C97" s="23" t="n">
        <v>0.07142857142857142</v>
      </c>
      <c r="D97" s="23" t="n">
        <v>0.07356746437233937</v>
      </c>
      <c r="E97" s="23" t="n">
        <v>0.002839972273256479</v>
      </c>
      <c r="F97" s="23" t="n">
        <v>0.01693131574165674</v>
      </c>
      <c r="G97" s="23" t="n">
        <v>0.0309974224896193</v>
      </c>
      <c r="H97" s="23" t="n">
        <v>0.1234580363812562</v>
      </c>
      <c r="I97" s="23" t="n">
        <v>0.2442241559158237</v>
      </c>
    </row>
    <row r="98">
      <c r="A98" s="33" t="n">
        <v>45523</v>
      </c>
      <c r="B98" s="34" t="n">
        <v>15</v>
      </c>
      <c r="C98" s="23" t="n">
        <v>0.06666666666666667</v>
      </c>
      <c r="D98" s="23" t="n">
        <v>0.07119360926332999</v>
      </c>
      <c r="E98" s="23" t="n">
        <v>0.002719111885347329</v>
      </c>
      <c r="F98" s="23" t="n">
        <v>0.01663447229623535</v>
      </c>
      <c r="G98" s="23" t="n">
        <v>0.02706898380424966</v>
      </c>
      <c r="H98" s="23" t="n">
        <v>0.1085394897969023</v>
      </c>
      <c r="I98" s="23" t="n">
        <v>0.2325451337218085</v>
      </c>
    </row>
    <row r="99">
      <c r="A99" s="33" t="n">
        <v>45524</v>
      </c>
      <c r="B99" s="34" t="n">
        <v>15</v>
      </c>
      <c r="C99" s="23" t="n">
        <v>0.06666666666666667</v>
      </c>
      <c r="D99" s="23" t="n">
        <v>0.07106540460876697</v>
      </c>
      <c r="E99" s="23" t="n">
        <v>0.002711579714909782</v>
      </c>
      <c r="F99" s="23" t="n">
        <v>0.01631342345890801</v>
      </c>
      <c r="G99" s="23" t="n">
        <v>0.02750642087753621</v>
      </c>
      <c r="H99" s="23" t="n">
        <v>0.108293918314068</v>
      </c>
      <c r="I99" s="23" t="n">
        <v>0.2341593940123893</v>
      </c>
    </row>
    <row r="100">
      <c r="A100" s="33" t="n">
        <v>45525</v>
      </c>
      <c r="B100" s="34" t="n">
        <v>15</v>
      </c>
      <c r="C100" s="23" t="n">
        <v>0.06666666666666667</v>
      </c>
      <c r="D100" s="23" t="n">
        <v>0.06965872674691656</v>
      </c>
      <c r="E100" s="23" t="n">
        <v>0.002733558449911561</v>
      </c>
      <c r="F100" s="23" t="n">
        <v>0.01687225782739531</v>
      </c>
      <c r="G100" s="23" t="n">
        <v>0.03016430884944426</v>
      </c>
      <c r="H100" s="23" t="n">
        <v>0.1063085147228211</v>
      </c>
      <c r="I100" s="23" t="n">
        <v>0.2359326750478291</v>
      </c>
    </row>
    <row r="101">
      <c r="A101" s="33" t="n">
        <v>45526</v>
      </c>
      <c r="B101" s="34" t="n">
        <v>15</v>
      </c>
      <c r="C101" s="23" t="n">
        <v>0.06666666666666667</v>
      </c>
      <c r="D101" s="23" t="n">
        <v>0.06825215132659945</v>
      </c>
      <c r="E101" s="23" t="n">
        <v>0.002595335427926704</v>
      </c>
      <c r="F101" s="23" t="n">
        <v>0.01883695732079561</v>
      </c>
      <c r="G101" s="23" t="n">
        <v>0.03157871185703921</v>
      </c>
      <c r="H101" s="23" t="n">
        <v>0.1079429409752964</v>
      </c>
      <c r="I101" s="23" t="n">
        <v>0.2274881819547478</v>
      </c>
    </row>
    <row r="102">
      <c r="A102" s="33" t="n">
        <v>45527</v>
      </c>
      <c r="B102" s="34" t="n">
        <v>15</v>
      </c>
      <c r="C102" s="23" t="n">
        <v>0.06666666666666667</v>
      </c>
      <c r="D102" s="23" t="n">
        <v>0.06844168053860546</v>
      </c>
      <c r="E102" s="23" t="n">
        <v>0.005190799973347971</v>
      </c>
      <c r="F102" s="23" t="n">
        <v>0.01512185371208828</v>
      </c>
      <c r="G102" s="23" t="n">
        <v>0.03110037979141614</v>
      </c>
      <c r="H102" s="23" t="n">
        <v>0.1071189473717609</v>
      </c>
      <c r="I102" s="23" t="n">
        <v>0.2302862237564766</v>
      </c>
    </row>
    <row r="103">
      <c r="A103" s="33" t="n">
        <v>45530</v>
      </c>
      <c r="B103" s="34" t="n">
        <v>15</v>
      </c>
      <c r="C103" s="23" t="n">
        <v>0.06666666666666667</v>
      </c>
      <c r="D103" s="23" t="n">
        <v>0.06480432869450631</v>
      </c>
      <c r="E103" s="23" t="n">
        <v>0.005054421537520429</v>
      </c>
      <c r="F103" s="23" t="n">
        <v>0.01483268814280904</v>
      </c>
      <c r="G103" s="23" t="n">
        <v>0.04107798824136408</v>
      </c>
      <c r="H103" s="23" t="n">
        <v>0.1075887381556305</v>
      </c>
      <c r="I103" s="23" t="n">
        <v>0.2167222261699163</v>
      </c>
    </row>
    <row r="104">
      <c r="A104" s="33" t="n">
        <v>45531</v>
      </c>
      <c r="B104" s="34" t="n">
        <v>15</v>
      </c>
      <c r="C104" s="23" t="n">
        <v>0.06666666666666667</v>
      </c>
      <c r="D104" s="23" t="n">
        <v>0.06513276258674333</v>
      </c>
      <c r="E104" s="23" t="n">
        <v>0.007226536330748752</v>
      </c>
      <c r="F104" s="23" t="n">
        <v>0.01391567002021449</v>
      </c>
      <c r="G104" s="23" t="n">
        <v>0.05427038489097571</v>
      </c>
      <c r="H104" s="23" t="n">
        <v>0.1002088442784823</v>
      </c>
      <c r="I104" s="23" t="n">
        <v>0.2150775665709342</v>
      </c>
    </row>
    <row r="105">
      <c r="A105" s="33" t="n">
        <v>45532</v>
      </c>
      <c r="B105" s="34" t="n">
        <v>15</v>
      </c>
      <c r="C105" s="23" t="n">
        <v>0.06666666666666667</v>
      </c>
      <c r="D105" s="23" t="n">
        <v>0.06670123484745276</v>
      </c>
      <c r="E105" s="23" t="n">
        <v>0.006930990105394789</v>
      </c>
      <c r="F105" s="23" t="n">
        <v>0.01230867579396567</v>
      </c>
      <c r="G105" s="23" t="n">
        <v>0.05163475476575665</v>
      </c>
      <c r="H105" s="23" t="n">
        <v>0.09622216178478603</v>
      </c>
      <c r="I105" s="23" t="n">
        <v>0.2273656349622468</v>
      </c>
    </row>
    <row r="106">
      <c r="A106" s="33" t="n">
        <v>45533</v>
      </c>
      <c r="B106" s="34" t="n">
        <v>15</v>
      </c>
      <c r="C106" s="23" t="n">
        <v>0.06666666666666667</v>
      </c>
      <c r="D106" s="23" t="n">
        <v>0.06699564031559087</v>
      </c>
      <c r="E106" s="23" t="n">
        <v>0.006686436508427276</v>
      </c>
      <c r="F106" s="23" t="n">
        <v>0.01207967801864244</v>
      </c>
      <c r="G106" s="23" t="n">
        <v>0.04940488833086434</v>
      </c>
      <c r="H106" s="23" t="n">
        <v>0.09305223593684046</v>
      </c>
      <c r="I106" s="23" t="n">
        <v>0.2323825706350636</v>
      </c>
    </row>
    <row r="107">
      <c r="A107" s="33" t="n">
        <v>45534</v>
      </c>
      <c r="B107" s="34" t="n">
        <v>16</v>
      </c>
      <c r="C107" s="23" t="n">
        <v>0.06249999999999999</v>
      </c>
      <c r="D107" s="23" t="n">
        <v>0.06571046124247973</v>
      </c>
      <c r="E107" s="23" t="n">
        <v>0.007303779353920503</v>
      </c>
      <c r="F107" s="23" t="n">
        <v>0.01138380813112395</v>
      </c>
      <c r="G107" s="23" t="n">
        <v>0.04068298938840623</v>
      </c>
      <c r="H107" s="23" t="n">
        <v>0.09067556049077644</v>
      </c>
      <c r="I107" s="23" t="n">
        <v>0.2312967727304718</v>
      </c>
    </row>
    <row r="108">
      <c r="A108" s="33" t="n">
        <v>45537</v>
      </c>
      <c r="B108" s="34" t="n">
        <v>16</v>
      </c>
      <c r="C108" s="23" t="n">
        <v>0.0625</v>
      </c>
      <c r="D108" s="23" t="n">
        <v>0.06513535719888666</v>
      </c>
      <c r="E108" s="23" t="n">
        <v>0.006986988662819594</v>
      </c>
      <c r="F108" s="23" t="n">
        <v>0.01164062132143287</v>
      </c>
      <c r="G108" s="23" t="n">
        <v>0.03769991786168326</v>
      </c>
      <c r="H108" s="23" t="n">
        <v>0.0892018195991441</v>
      </c>
      <c r="I108" s="23" t="n">
        <v>0.2276643943476282</v>
      </c>
    </row>
    <row r="109">
      <c r="A109" s="33" t="n">
        <v>45538</v>
      </c>
      <c r="B109" s="34" t="n">
        <v>16</v>
      </c>
      <c r="C109" s="23" t="n">
        <v>0.0625</v>
      </c>
      <c r="D109" s="23" t="n">
        <v>0.06560118118571032</v>
      </c>
      <c r="E109" s="23" t="n">
        <v>0.006895811743030912</v>
      </c>
      <c r="F109" s="23" t="n">
        <v>0.011678390855133</v>
      </c>
      <c r="G109" s="23" t="n">
        <v>0.03555988233939432</v>
      </c>
      <c r="H109" s="23" t="n">
        <v>0.0930757937380272</v>
      </c>
      <c r="I109" s="23" t="n">
        <v>0.2301709428550492</v>
      </c>
    </row>
    <row r="110">
      <c r="A110" s="33" t="n">
        <v>45539</v>
      </c>
      <c r="B110" s="34" t="n">
        <v>15</v>
      </c>
      <c r="C110" s="23" t="n">
        <v>0.06666666666666668</v>
      </c>
      <c r="D110" s="23" t="n">
        <v>0.06807267352905701</v>
      </c>
      <c r="E110" s="23" t="n">
        <v>0.006800057056161417</v>
      </c>
      <c r="F110" s="23" t="n">
        <v>0.01223206296925451</v>
      </c>
      <c r="G110" s="23" t="n">
        <v>0.04258983103595835</v>
      </c>
      <c r="H110" s="23" t="n">
        <v>0.0936654693517642</v>
      </c>
      <c r="I110" s="23" t="n">
        <v>0.2281001594979058</v>
      </c>
    </row>
    <row r="111">
      <c r="A111" s="33" t="n">
        <v>45540</v>
      </c>
      <c r="B111" s="34" t="n">
        <v>16</v>
      </c>
      <c r="C111" s="23" t="n">
        <v>0.0625</v>
      </c>
      <c r="D111" s="23" t="n">
        <v>0.06530760257335268</v>
      </c>
      <c r="E111" s="23" t="n">
        <v>0.006614895022316514</v>
      </c>
      <c r="F111" s="23" t="n">
        <v>0.0123916698356784</v>
      </c>
      <c r="G111" s="23" t="n">
        <v>0.04000460340652082</v>
      </c>
      <c r="H111" s="23" t="n">
        <v>0.09566141444669055</v>
      </c>
      <c r="I111" s="23" t="n">
        <v>0.219927746532434</v>
      </c>
    </row>
    <row r="112">
      <c r="A112" s="33" t="n">
        <v>45541</v>
      </c>
      <c r="B112" s="34" t="n">
        <v>16</v>
      </c>
      <c r="C112" s="23" t="n">
        <v>0.0625</v>
      </c>
      <c r="D112" s="23" t="n">
        <v>0.06457424150945357</v>
      </c>
      <c r="E112" s="23" t="n">
        <v>0.006666480711835095</v>
      </c>
      <c r="F112" s="23" t="n">
        <v>0.01234528769325567</v>
      </c>
      <c r="G112" s="23" t="n">
        <v>0.04028288801377418</v>
      </c>
      <c r="H112" s="23" t="n">
        <v>0.09237982457697388</v>
      </c>
      <c r="I112" s="23" t="n">
        <v>0.222090926841143</v>
      </c>
    </row>
    <row r="113">
      <c r="A113" s="33" t="n">
        <v>45544</v>
      </c>
      <c r="B113" s="34" t="n">
        <v>16</v>
      </c>
      <c r="C113" s="23" t="n">
        <v>0.0625</v>
      </c>
      <c r="D113" s="23" t="n">
        <v>0.06666139383122072</v>
      </c>
      <c r="E113" s="23" t="n">
        <v>0.006623368603071349</v>
      </c>
      <c r="F113" s="23" t="n">
        <v>0.01097719132117419</v>
      </c>
      <c r="G113" s="23" t="n">
        <v>0.04059064802997242</v>
      </c>
      <c r="H113" s="23" t="n">
        <v>0.08615847194203138</v>
      </c>
      <c r="I113" s="23" t="n">
        <v>0.2246593107991272</v>
      </c>
    </row>
    <row r="114">
      <c r="A114" s="33" t="n">
        <v>45545</v>
      </c>
      <c r="B114" s="34" t="n">
        <v>16</v>
      </c>
      <c r="C114" s="23" t="n">
        <v>0.0625</v>
      </c>
      <c r="D114" s="23" t="n">
        <v>0.06568094682876481</v>
      </c>
      <c r="E114" s="23" t="n">
        <v>0.006515621543479491</v>
      </c>
      <c r="F114" s="23" t="n">
        <v>0.0104139336039387</v>
      </c>
      <c r="G114" s="23" t="n">
        <v>0.04456242701114832</v>
      </c>
      <c r="H114" s="23" t="n">
        <v>0.08637507138116772</v>
      </c>
      <c r="I114" s="23" t="n">
        <v>0.2185421264642785</v>
      </c>
    </row>
    <row r="115">
      <c r="A115" s="33" t="n">
        <v>45546</v>
      </c>
      <c r="B115" s="34" t="n">
        <v>16</v>
      </c>
      <c r="C115" s="23" t="n">
        <v>0.0625</v>
      </c>
      <c r="D115" s="23" t="n">
        <v>0.06332558318325295</v>
      </c>
      <c r="E115" s="23" t="n">
        <v>0.006214509248899</v>
      </c>
      <c r="F115" s="23" t="n">
        <v>0.009938027807211893</v>
      </c>
      <c r="G115" s="23" t="n">
        <v>0.05187732025223596</v>
      </c>
      <c r="H115" s="23" t="n">
        <v>0.09083532785488281</v>
      </c>
      <c r="I115" s="23" t="n">
        <v>0.201798650888334</v>
      </c>
    </row>
    <row r="116">
      <c r="A116" s="33" t="n">
        <v>45547</v>
      </c>
      <c r="B116" s="34" t="n">
        <v>16</v>
      </c>
      <c r="C116" s="23" t="n">
        <v>0.0625</v>
      </c>
      <c r="D116" s="23" t="n">
        <v>0.06305649965083572</v>
      </c>
      <c r="E116" s="23" t="n">
        <v>0.006019451223840845</v>
      </c>
      <c r="F116" s="23" t="n">
        <v>0.009774570450100242</v>
      </c>
      <c r="G116" s="23" t="n">
        <v>0.05201598985579265</v>
      </c>
      <c r="H116" s="23" t="n">
        <v>0.0886908244371605</v>
      </c>
      <c r="I116" s="23" t="n">
        <v>0.2033443571622657</v>
      </c>
    </row>
    <row r="117">
      <c r="A117" s="33" t="n">
        <v>45548</v>
      </c>
      <c r="B117" s="34" t="n">
        <v>16</v>
      </c>
      <c r="C117" s="23" t="n">
        <v>0.06249999999999999</v>
      </c>
      <c r="D117" s="23" t="n">
        <v>0.06134769885467593</v>
      </c>
      <c r="E117" s="23" t="n">
        <v>0.00585917504910422</v>
      </c>
      <c r="F117" s="23" t="n">
        <v>0.009291113624189037</v>
      </c>
      <c r="G117" s="23" t="n">
        <v>0.05793464674721743</v>
      </c>
      <c r="H117" s="23" t="n">
        <v>0.08910421998690554</v>
      </c>
      <c r="I117" s="23" t="n">
        <v>0.1951455270519612</v>
      </c>
    </row>
    <row r="118">
      <c r="A118" s="33" t="n">
        <v>45553</v>
      </c>
      <c r="B118" s="34" t="n">
        <v>16</v>
      </c>
      <c r="C118" s="23" t="n">
        <v>0.0625</v>
      </c>
      <c r="D118" s="23" t="n">
        <v>0.05947459562616227</v>
      </c>
      <c r="E118" s="23" t="n">
        <v>0.005684146549223466</v>
      </c>
      <c r="F118" s="23" t="n">
        <v>0.009000474254430596</v>
      </c>
      <c r="G118" s="23" t="n">
        <v>0.05773126810109447</v>
      </c>
      <c r="H118" s="23" t="n">
        <v>0.08921508589530489</v>
      </c>
      <c r="I118" s="23" t="n">
        <v>0.1831358808009835</v>
      </c>
    </row>
    <row r="119">
      <c r="A119" s="33" t="n">
        <v>45554</v>
      </c>
      <c r="B119" s="34" t="n">
        <v>16</v>
      </c>
      <c r="C119" s="23" t="n">
        <v>0.0625</v>
      </c>
      <c r="D119" s="23" t="n">
        <v>0.05709084290073119</v>
      </c>
      <c r="E119" s="23" t="n">
        <v>0.005481416076197803</v>
      </c>
      <c r="F119" s="23" t="n">
        <v>0.01043392358363968</v>
      </c>
      <c r="G119" s="23" t="n">
        <v>0.06137743527426751</v>
      </c>
      <c r="H119" s="23" t="n">
        <v>0.0928868354220122</v>
      </c>
      <c r="I119" s="23" t="n">
        <v>0.1775296910037461</v>
      </c>
    </row>
    <row r="120">
      <c r="A120" s="33" t="n">
        <v>45555</v>
      </c>
      <c r="B120" s="34" t="n">
        <v>16</v>
      </c>
      <c r="C120" s="23" t="n">
        <v>0.0625</v>
      </c>
      <c r="D120" s="23" t="n">
        <v>0.05747279169547054</v>
      </c>
      <c r="E120" s="23" t="n">
        <v>0.005474348827955908</v>
      </c>
      <c r="F120" s="23" t="n">
        <v>0.0103999510281894</v>
      </c>
      <c r="G120" s="23" t="n">
        <v>0.05519166779622479</v>
      </c>
      <c r="H120" s="23" t="n">
        <v>0.09341755464510741</v>
      </c>
      <c r="I120" s="23" t="n">
        <v>0.1771249174693817</v>
      </c>
    </row>
    <row r="121">
      <c r="A121" s="33" t="n">
        <v>45558</v>
      </c>
      <c r="B121" s="34" t="n">
        <v>16</v>
      </c>
      <c r="C121" s="23" t="n">
        <v>0.0625</v>
      </c>
      <c r="D121" s="23" t="n">
        <v>0.05707932815998171</v>
      </c>
      <c r="E121" s="23" t="n">
        <v>0.005410618365693508</v>
      </c>
      <c r="F121" s="23" t="n">
        <v>0.01031405913669033</v>
      </c>
      <c r="G121" s="23" t="n">
        <v>0.05670506156723307</v>
      </c>
      <c r="H121" s="23" t="n">
        <v>0.09341787741289469</v>
      </c>
      <c r="I121" s="23" t="n">
        <v>0.1761589605357186</v>
      </c>
    </row>
    <row r="122">
      <c r="A122" s="33" t="n">
        <v>45559</v>
      </c>
      <c r="B122" s="34" t="n">
        <v>16</v>
      </c>
      <c r="C122" s="23" t="n">
        <v>0.0625</v>
      </c>
      <c r="D122" s="23" t="n">
        <v>0.05359815097941557</v>
      </c>
      <c r="E122" s="23" t="n">
        <v>0.004453917248893689</v>
      </c>
      <c r="F122" s="23" t="n">
        <v>0.01169153277834593</v>
      </c>
      <c r="G122" s="23" t="n">
        <v>0.06946820610358703</v>
      </c>
      <c r="H122" s="23" t="n">
        <v>0.1012286503483804</v>
      </c>
      <c r="I122" s="23" t="n">
        <v>0.1836452349775871</v>
      </c>
    </row>
    <row r="123">
      <c r="A123" s="33" t="n">
        <v>45560</v>
      </c>
      <c r="B123" s="34" t="n">
        <v>16</v>
      </c>
      <c r="C123" s="23" t="n">
        <v>0.0625</v>
      </c>
      <c r="D123" s="23" t="n">
        <v>0.05354915950659218</v>
      </c>
      <c r="E123" s="23" t="n">
        <v>0.006687840987679619</v>
      </c>
      <c r="F123" s="23" t="n">
        <v>0.01156796700904178</v>
      </c>
      <c r="G123" s="23" t="n">
        <v>0.06013805998821752</v>
      </c>
      <c r="H123" s="23" t="n">
        <v>0.09911311185676597</v>
      </c>
      <c r="I123" s="23" t="n">
        <v>0.1808099177787454</v>
      </c>
    </row>
    <row r="124">
      <c r="A124" s="33" t="n">
        <v>45561</v>
      </c>
      <c r="B124" s="34" t="n">
        <v>16</v>
      </c>
      <c r="C124" s="23" t="n">
        <v>0.0625</v>
      </c>
      <c r="D124" s="23" t="n">
        <v>0.05410006100759891</v>
      </c>
      <c r="E124" s="23" t="n">
        <v>0.007036016785521201</v>
      </c>
      <c r="F124" s="23" t="n">
        <v>0.01220361455088433</v>
      </c>
      <c r="G124" s="23" t="n">
        <v>0.06256854516901372</v>
      </c>
      <c r="H124" s="23" t="n">
        <v>0.09964601086424839</v>
      </c>
      <c r="I124" s="23" t="n">
        <v>0.1839610740673995</v>
      </c>
    </row>
    <row r="125">
      <c r="A125" s="33" t="n">
        <v>45562</v>
      </c>
      <c r="B125" s="34" t="n">
        <v>15</v>
      </c>
      <c r="C125" s="23" t="n">
        <v>0.06666666666666667</v>
      </c>
      <c r="D125" s="23" t="n">
        <v>0.0552460872207986</v>
      </c>
      <c r="E125" s="23" t="n">
        <v>0.007996528638730474</v>
      </c>
      <c r="F125" s="23" t="n">
        <v>0.01424187949417307</v>
      </c>
      <c r="G125" s="23" t="n">
        <v>0.06762392083493</v>
      </c>
      <c r="H125" s="23" t="n">
        <v>0.1047255032346776</v>
      </c>
      <c r="I125" s="23" t="n">
        <v>0.1866420215044068</v>
      </c>
    </row>
    <row r="126">
      <c r="A126" s="33" t="n">
        <v>45565</v>
      </c>
      <c r="B126" s="34" t="n">
        <v>14</v>
      </c>
      <c r="C126" s="23" t="n">
        <v>0.07142857142857142</v>
      </c>
      <c r="D126" s="23" t="n">
        <v>0.05275273940334215</v>
      </c>
      <c r="E126" s="23" t="n">
        <v>0.01174883553395933</v>
      </c>
      <c r="F126" s="23" t="n">
        <v>0.02417922359513661</v>
      </c>
      <c r="G126" s="23" t="n">
        <v>0.06668620686002041</v>
      </c>
      <c r="H126" s="23" t="n">
        <v>0.1047419105365196</v>
      </c>
      <c r="I126" s="23" t="n">
        <v>0.1917952376075741</v>
      </c>
    </row>
    <row r="127">
      <c r="A127" s="33" t="n">
        <v>45573</v>
      </c>
      <c r="B127" s="34" t="n">
        <v>12</v>
      </c>
      <c r="C127" s="23" t="n">
        <v>0.08333333333333333</v>
      </c>
      <c r="D127" s="23" t="n">
        <v>0.06155313643093045</v>
      </c>
      <c r="E127" s="23" t="n">
        <v>0.006038384203088914</v>
      </c>
      <c r="F127" s="23" t="n">
        <v>0.02576896021514078</v>
      </c>
      <c r="G127" s="23" t="n">
        <v>0.09630600290091447</v>
      </c>
      <c r="H127" s="23" t="n">
        <v>0.1130313933727177</v>
      </c>
      <c r="I127" s="23" t="n">
        <v>0.2098182882114555</v>
      </c>
    </row>
    <row r="128">
      <c r="A128" s="33" t="n">
        <v>45574</v>
      </c>
      <c r="B128" s="34" t="n">
        <v>12</v>
      </c>
      <c r="C128" s="23" t="n">
        <v>0.08333333333333333</v>
      </c>
      <c r="D128" s="23" t="n">
        <v>0.06086102030374432</v>
      </c>
      <c r="E128" s="23" t="n">
        <v>0.005928397975933689</v>
      </c>
      <c r="F128" s="23" t="n">
        <v>0.02582990788599026</v>
      </c>
      <c r="G128" s="23" t="n">
        <v>0.09621776348812286</v>
      </c>
      <c r="H128" s="23" t="n">
        <v>0.1137875951324732</v>
      </c>
      <c r="I128" s="23" t="n">
        <v>0.2058320784664849</v>
      </c>
    </row>
    <row r="129">
      <c r="A129" s="33" t="n">
        <v>45575</v>
      </c>
      <c r="B129" s="34" t="n">
        <v>12</v>
      </c>
      <c r="C129" s="23" t="n">
        <v>0.08333333333333333</v>
      </c>
      <c r="D129" s="23" t="n">
        <v>0.05792706459652833</v>
      </c>
      <c r="E129" s="23" t="n">
        <v>0.01366644739491737</v>
      </c>
      <c r="F129" s="23" t="n">
        <v>0.02535105854555706</v>
      </c>
      <c r="G129" s="23" t="n">
        <v>0.09579602357395052</v>
      </c>
      <c r="H129" s="23" t="n">
        <v>0.1140436843023802</v>
      </c>
      <c r="I129" s="23" t="n">
        <v>0.1917061579562083</v>
      </c>
    </row>
    <row r="130">
      <c r="A130" s="33" t="n">
        <v>45576</v>
      </c>
      <c r="B130" s="34" t="n">
        <v>12</v>
      </c>
      <c r="C130" s="23" t="n">
        <v>0.08333333333333333</v>
      </c>
      <c r="D130" s="23" t="n">
        <v>0.05929432914616582</v>
      </c>
      <c r="E130" s="23" t="n">
        <v>0.01365867145918297</v>
      </c>
      <c r="F130" s="23" t="n">
        <v>0.02452823667657427</v>
      </c>
      <c r="G130" s="23" t="n">
        <v>0.09511301582912836</v>
      </c>
      <c r="H130" s="23" t="n">
        <v>0.1133096011612636</v>
      </c>
      <c r="I130" s="23" t="n">
        <v>0.1952374369254165</v>
      </c>
    </row>
    <row r="131">
      <c r="A131" s="33" t="n">
        <v>45579</v>
      </c>
      <c r="B131" s="34" t="n">
        <v>12</v>
      </c>
      <c r="C131" s="23" t="n">
        <v>0.08333333333333336</v>
      </c>
      <c r="D131" s="23" t="n">
        <v>0.05948314263862021</v>
      </c>
      <c r="E131" s="23" t="n">
        <v>0.01360460505626427</v>
      </c>
      <c r="F131" s="23" t="n">
        <v>0.02440966952431738</v>
      </c>
      <c r="G131" s="23" t="n">
        <v>0.09460669702065985</v>
      </c>
      <c r="H131" s="23" t="n">
        <v>0.113875329860399</v>
      </c>
      <c r="I131" s="23" t="n">
        <v>0.1966856720948357</v>
      </c>
    </row>
    <row r="132">
      <c r="A132" s="33" t="n">
        <v>45580</v>
      </c>
      <c r="B132" s="34" t="n">
        <v>12</v>
      </c>
      <c r="C132" s="23" t="n">
        <v>0.08333333333333333</v>
      </c>
      <c r="D132" s="23" t="n">
        <v>0.05872265764859524</v>
      </c>
      <c r="E132" s="23" t="n">
        <v>0.0135778743315508</v>
      </c>
      <c r="F132" s="23" t="n">
        <v>0.02491365864527629</v>
      </c>
      <c r="G132" s="23" t="n">
        <v>0.09428963346702318</v>
      </c>
      <c r="H132" s="23" t="n">
        <v>0.1134535845588235</v>
      </c>
      <c r="I132" s="23" t="n">
        <v>0.1959391711229947</v>
      </c>
    </row>
    <row r="133">
      <c r="A133" s="33" t="n">
        <v>45581</v>
      </c>
      <c r="B133" s="34" t="n">
        <v>12</v>
      </c>
      <c r="C133" s="23" t="n">
        <v>0.08333333333333333</v>
      </c>
      <c r="D133" s="23" t="n">
        <v>0.05688814076299233</v>
      </c>
      <c r="E133" s="23" t="n">
        <v>0.01871752757014045</v>
      </c>
      <c r="F133" s="23" t="n">
        <v>0.0355110112962156</v>
      </c>
      <c r="G133" s="23" t="n">
        <v>0.090165253243053</v>
      </c>
      <c r="H133" s="23" t="n">
        <v>0.1092716119733181</v>
      </c>
      <c r="I133" s="23" t="n">
        <v>0.2027285221063923</v>
      </c>
    </row>
    <row r="134">
      <c r="A134" s="33" t="n">
        <v>45582</v>
      </c>
      <c r="B134" s="34" t="n">
        <v>12</v>
      </c>
      <c r="C134" s="23" t="n">
        <v>0.08333333333333333</v>
      </c>
      <c r="D134" s="23" t="n">
        <v>0.05336574792615371</v>
      </c>
      <c r="E134" s="23" t="n">
        <v>0.01877641280974637</v>
      </c>
      <c r="F134" s="23" t="n">
        <v>0.03766305564411643</v>
      </c>
      <c r="G134" s="23" t="n">
        <v>0.08999179210278187</v>
      </c>
      <c r="H134" s="23" t="n">
        <v>0.1093142674960487</v>
      </c>
      <c r="I134" s="23" t="n">
        <v>0.1908844857175805</v>
      </c>
    </row>
    <row r="135">
      <c r="A135" s="33" t="n">
        <v>45583</v>
      </c>
      <c r="B135" s="34" t="n">
        <v>12</v>
      </c>
      <c r="C135" s="23" t="n">
        <v>0.08333333333333333</v>
      </c>
      <c r="D135" s="23" t="n">
        <v>0.04808166995425821</v>
      </c>
      <c r="E135" s="23" t="n">
        <v>0.01900231438444426</v>
      </c>
      <c r="F135" s="23" t="n">
        <v>0.04807316275700246</v>
      </c>
      <c r="G135" s="23" t="n">
        <v>0.08727344997147088</v>
      </c>
      <c r="H135" s="23" t="n">
        <v>0.1047162795468679</v>
      </c>
      <c r="I135" s="23" t="n">
        <v>0.1810797468922497</v>
      </c>
    </row>
    <row r="136">
      <c r="A136" s="33" t="n">
        <v>45586</v>
      </c>
      <c r="B136" s="34" t="n">
        <v>12</v>
      </c>
      <c r="C136" s="23" t="n">
        <v>0.08333333333333333</v>
      </c>
      <c r="D136" s="23" t="n">
        <v>0.0465137110015907</v>
      </c>
      <c r="E136" s="23" t="n">
        <v>0.01886828292293763</v>
      </c>
      <c r="F136" s="23" t="n">
        <v>0.0528153630878135</v>
      </c>
      <c r="G136" s="23" t="n">
        <v>0.08783565598941351</v>
      </c>
      <c r="H136" s="23" t="n">
        <v>0.1046493221980916</v>
      </c>
      <c r="I136" s="23" t="n">
        <v>0.1775074871626028</v>
      </c>
    </row>
    <row r="137">
      <c r="A137" s="33" t="n">
        <v>45587</v>
      </c>
      <c r="B137" s="34" t="n">
        <v>12</v>
      </c>
      <c r="C137" s="23" t="n">
        <v>0.08333333333333333</v>
      </c>
      <c r="D137" s="23" t="n">
        <v>0.04684637110632209</v>
      </c>
      <c r="E137" s="23" t="n">
        <v>0.01885831105519736</v>
      </c>
      <c r="F137" s="23" t="n">
        <v>0.05238874036798238</v>
      </c>
      <c r="G137" s="23" t="n">
        <v>0.08782198458877183</v>
      </c>
      <c r="H137" s="23" t="n">
        <v>0.1047617549929234</v>
      </c>
      <c r="I137" s="23" t="n">
        <v>0.1783299260890077</v>
      </c>
    </row>
    <row r="138">
      <c r="A138" s="33" t="n">
        <v>45588</v>
      </c>
      <c r="B138" s="34" t="n">
        <v>12</v>
      </c>
      <c r="C138" s="23" t="n">
        <v>0.08333333333333333</v>
      </c>
      <c r="D138" s="23" t="n">
        <v>0.04712318284584401</v>
      </c>
      <c r="E138" s="23" t="n">
        <v>0.01886544608398126</v>
      </c>
      <c r="F138" s="23" t="n">
        <v>0.05172672625712302</v>
      </c>
      <c r="G138" s="23" t="n">
        <v>0.08771243955988967</v>
      </c>
      <c r="H138" s="23" t="n">
        <v>0.1052173967435838</v>
      </c>
      <c r="I138" s="23" t="n">
        <v>0.178646266630804</v>
      </c>
    </row>
    <row r="139">
      <c r="A139" s="33" t="n">
        <v>45589</v>
      </c>
      <c r="B139" s="34" t="n">
        <v>12</v>
      </c>
      <c r="C139" s="23" t="n">
        <v>0.08333333333333333</v>
      </c>
      <c r="D139" s="23" t="n">
        <v>0.04692518987629302</v>
      </c>
      <c r="E139" s="23" t="n">
        <v>0.01986223964745472</v>
      </c>
      <c r="F139" s="23" t="n">
        <v>0.05197264996117203</v>
      </c>
      <c r="G139" s="23" t="n">
        <v>0.08725243227203566</v>
      </c>
      <c r="H139" s="23" t="n">
        <v>0.1046997619814257</v>
      </c>
      <c r="I139" s="23" t="n">
        <v>0.1789874424683221</v>
      </c>
    </row>
    <row r="140">
      <c r="A140" s="33" t="n">
        <v>45590</v>
      </c>
      <c r="B140" s="34" t="n">
        <v>12</v>
      </c>
      <c r="C140" s="23" t="n">
        <v>0.08333333333333333</v>
      </c>
      <c r="D140" s="23" t="n">
        <v>0.0471800630101789</v>
      </c>
      <c r="E140" s="23" t="n">
        <v>0.01947176593938789</v>
      </c>
      <c r="F140" s="23" t="n">
        <v>0.05154089070847272</v>
      </c>
      <c r="G140" s="23" t="n">
        <v>0.08878376354286285</v>
      </c>
      <c r="H140" s="23" t="n">
        <v>0.1054221379000449</v>
      </c>
      <c r="I140" s="23" t="n">
        <v>0.1802074491986619</v>
      </c>
    </row>
    <row r="141">
      <c r="A141" s="33" t="n">
        <v>45593</v>
      </c>
      <c r="B141" s="34" t="n">
        <v>12</v>
      </c>
      <c r="C141" s="23" t="n">
        <v>0.08333333333333333</v>
      </c>
      <c r="D141" s="23" t="n">
        <v>0.04880470179838207</v>
      </c>
      <c r="E141" s="23" t="n">
        <v>0.01974098530337891</v>
      </c>
      <c r="F141" s="23" t="n">
        <v>0.04720751728739159</v>
      </c>
      <c r="G141" s="23" t="n">
        <v>0.08802072616397613</v>
      </c>
      <c r="H141" s="23" t="n">
        <v>0.1049043815509705</v>
      </c>
      <c r="I141" s="23" t="n">
        <v>0.1859368862118633</v>
      </c>
    </row>
    <row r="142">
      <c r="A142" s="33" t="n">
        <v>45594</v>
      </c>
      <c r="B142" s="34" t="n">
        <v>12</v>
      </c>
      <c r="C142" s="23" t="n">
        <v>0.08333333333333333</v>
      </c>
      <c r="D142" s="23" t="n">
        <v>0.04988004493277134</v>
      </c>
      <c r="E142" s="23" t="n">
        <v>0.01838123409901521</v>
      </c>
      <c r="F142" s="23" t="n">
        <v>0.04111431666849262</v>
      </c>
      <c r="G142" s="23" t="n">
        <v>0.08520493250069994</v>
      </c>
      <c r="H142" s="23" t="n">
        <v>0.1183991892780192</v>
      </c>
      <c r="I142" s="23" t="n">
        <v>0.1789431399043202</v>
      </c>
    </row>
    <row r="143">
      <c r="A143" s="33" t="n">
        <v>45595</v>
      </c>
      <c r="B143" s="34" t="n">
        <v>12</v>
      </c>
      <c r="C143" s="23" t="n">
        <v>0.08333333333333333</v>
      </c>
      <c r="D143" s="23" t="n">
        <v>0.05339136316275671</v>
      </c>
      <c r="E143" s="23" t="n">
        <v>0.01784664966408801</v>
      </c>
      <c r="F143" s="23" t="n">
        <v>0.04048814766800143</v>
      </c>
      <c r="G143" s="23" t="n">
        <v>0.08481096242268572</v>
      </c>
      <c r="H143" s="23" t="n">
        <v>0.117078504661574</v>
      </c>
      <c r="I143" s="23" t="n">
        <v>0.1838277610511713</v>
      </c>
    </row>
    <row r="144">
      <c r="A144" s="33" t="n">
        <v>45596</v>
      </c>
      <c r="B144" s="34" t="n">
        <v>12</v>
      </c>
      <c r="C144" s="23" t="n">
        <v>0.08333333333333333</v>
      </c>
      <c r="D144" s="23" t="n">
        <v>0.05576135822529008</v>
      </c>
      <c r="E144" s="23" t="n">
        <v>0.01802418295462183</v>
      </c>
      <c r="F144" s="23" t="n">
        <v>0.03654937709645688</v>
      </c>
      <c r="G144" s="23" t="n">
        <v>0.08250493373821555</v>
      </c>
      <c r="H144" s="23" t="n">
        <v>0.1189809921243485</v>
      </c>
      <c r="I144" s="23" t="n">
        <v>0.1898954597388632</v>
      </c>
    </row>
    <row r="145">
      <c r="A145" s="33" t="n">
        <v>45597</v>
      </c>
      <c r="B145" s="34" t="n">
        <v>12</v>
      </c>
      <c r="C145" s="23" t="n">
        <v>0.08333333333333333</v>
      </c>
      <c r="D145" s="23" t="n">
        <v>0.05800354135917849</v>
      </c>
      <c r="E145" s="23" t="n">
        <v>0.01758837508664224</v>
      </c>
      <c r="F145" s="23" t="n">
        <v>0.03005402762649767</v>
      </c>
      <c r="G145" s="23" t="n">
        <v>0.08151797207644321</v>
      </c>
      <c r="H145" s="23" t="n">
        <v>0.1212264209327656</v>
      </c>
      <c r="I145" s="23" t="n">
        <v>0.1903963263689474</v>
      </c>
    </row>
    <row r="146">
      <c r="A146" s="33" t="n">
        <v>45600</v>
      </c>
      <c r="B146" s="34" t="n">
        <v>12</v>
      </c>
      <c r="C146" s="23" t="n">
        <v>0.08333333333333336</v>
      </c>
      <c r="D146" s="23" t="n">
        <v>0.06453722099478282</v>
      </c>
      <c r="E146" s="23" t="n">
        <v>0.01589544330625221</v>
      </c>
      <c r="F146" s="23" t="n">
        <v>0.03214245249695087</v>
      </c>
      <c r="G146" s="23" t="n">
        <v>0.06406163566444285</v>
      </c>
      <c r="H146" s="23" t="n">
        <v>0.1320321507834421</v>
      </c>
      <c r="I146" s="23" t="n">
        <v>0.2022420239531334</v>
      </c>
    </row>
    <row r="147">
      <c r="A147" s="33" t="n">
        <v>45601</v>
      </c>
      <c r="B147" s="34" t="n">
        <v>11</v>
      </c>
      <c r="C147" s="23" t="n">
        <v>0.09090909090909091</v>
      </c>
      <c r="D147" s="23" t="n">
        <v>0.0661880389920016</v>
      </c>
      <c r="E147" s="23" t="n">
        <v>0.02020971081279637</v>
      </c>
      <c r="F147" s="23" t="n">
        <v>0.03518332999398918</v>
      </c>
      <c r="G147" s="23" t="n">
        <v>0.08948106591865358</v>
      </c>
      <c r="H147" s="23" t="n">
        <v>0.1409837707874174</v>
      </c>
      <c r="I147" s="23" t="n">
        <v>0.211781206171108</v>
      </c>
    </row>
    <row r="148">
      <c r="A148" s="33" t="n">
        <v>45602</v>
      </c>
      <c r="B148" s="34" t="n">
        <v>11</v>
      </c>
      <c r="C148" s="23" t="n">
        <v>0.0909090909090909</v>
      </c>
      <c r="D148" s="23" t="n">
        <v>0.06762141817428356</v>
      </c>
      <c r="E148" s="23" t="n">
        <v>0.02003733747898936</v>
      </c>
      <c r="F148" s="23" t="n">
        <v>0.03518492681986991</v>
      </c>
      <c r="G148" s="23" t="n">
        <v>0.08804868488363596</v>
      </c>
      <c r="H148" s="23" t="n">
        <v>0.1385074309555604</v>
      </c>
      <c r="I148" s="23" t="n">
        <v>0.2218324596894744</v>
      </c>
    </row>
    <row r="149">
      <c r="A149" s="33" t="n">
        <v>45603</v>
      </c>
      <c r="B149" s="34" t="n">
        <v>11</v>
      </c>
      <c r="C149" s="23" t="n">
        <v>0.09090909090909091</v>
      </c>
      <c r="D149" s="23" t="n">
        <v>0.06806780211711959</v>
      </c>
      <c r="E149" s="23" t="n">
        <v>0.02003281125836303</v>
      </c>
      <c r="F149" s="23" t="n">
        <v>0.03497410986644792</v>
      </c>
      <c r="G149" s="23" t="n">
        <v>0.08660377842147086</v>
      </c>
      <c r="H149" s="23" t="n">
        <v>0.1383199610366307</v>
      </c>
      <c r="I149" s="23" t="n">
        <v>0.2244238804439773</v>
      </c>
    </row>
    <row r="150">
      <c r="A150" s="33" t="n">
        <v>45604</v>
      </c>
      <c r="B150" s="34" t="n">
        <v>11</v>
      </c>
      <c r="C150" s="23" t="n">
        <v>0.09090909090909088</v>
      </c>
      <c r="D150" s="23" t="n">
        <v>0.06646167811883906</v>
      </c>
      <c r="E150" s="23" t="n">
        <v>0.02031333848147324</v>
      </c>
      <c r="F150" s="23" t="n">
        <v>0.03551562111435415</v>
      </c>
      <c r="G150" s="23" t="n">
        <v>0.08786958627279033</v>
      </c>
      <c r="H150" s="23" t="n">
        <v>0.1393106291637763</v>
      </c>
      <c r="I150" s="23" t="n">
        <v>0.2150242791513422</v>
      </c>
    </row>
    <row r="151">
      <c r="A151" s="33" t="n">
        <v>45607</v>
      </c>
      <c r="B151" s="34" t="n">
        <v>11</v>
      </c>
      <c r="C151" s="23" t="n">
        <v>0.0909090909090909</v>
      </c>
      <c r="D151" s="23" t="n">
        <v>0.06542338794019267</v>
      </c>
      <c r="E151" s="23" t="n">
        <v>0.02144525211327829</v>
      </c>
      <c r="F151" s="23" t="n">
        <v>0.0355129428016972</v>
      </c>
      <c r="G151" s="23" t="n">
        <v>0.08889912179719106</v>
      </c>
      <c r="H151" s="23" t="n">
        <v>0.1397197644969246</v>
      </c>
      <c r="I151" s="23" t="n">
        <v>0.2107226260566391</v>
      </c>
    </row>
    <row r="152">
      <c r="A152" s="33" t="n">
        <v>45608</v>
      </c>
      <c r="B152" s="34" t="n">
        <v>11</v>
      </c>
      <c r="C152" s="23" t="n">
        <v>0.09090909090909091</v>
      </c>
      <c r="D152" s="23" t="n">
        <v>0.06427125809702365</v>
      </c>
      <c r="E152" s="23" t="n">
        <v>0.02234629346515716</v>
      </c>
      <c r="F152" s="23" t="n">
        <v>0.03640533132185263</v>
      </c>
      <c r="G152" s="23" t="n">
        <v>0.08867127780658805</v>
      </c>
      <c r="H152" s="23" t="n">
        <v>0.1372061071786962</v>
      </c>
      <c r="I152" s="23" t="n">
        <v>0.2129632747624275</v>
      </c>
    </row>
    <row r="153">
      <c r="A153" s="33" t="n">
        <v>45609</v>
      </c>
      <c r="B153" s="34" t="n">
        <v>11</v>
      </c>
      <c r="C153" s="23" t="n">
        <v>0.09090909090909091</v>
      </c>
      <c r="D153" s="23" t="n">
        <v>0.0636413865561839</v>
      </c>
      <c r="E153" s="23" t="n">
        <v>0.02308345823634643</v>
      </c>
      <c r="F153" s="23" t="n">
        <v>0.03685617389262255</v>
      </c>
      <c r="G153" s="23" t="n">
        <v>0.09113890826708293</v>
      </c>
      <c r="H153" s="23" t="n">
        <v>0.1304609093860297</v>
      </c>
      <c r="I153" s="23" t="n">
        <v>0.2141401722625519</v>
      </c>
    </row>
    <row r="154">
      <c r="A154" s="33" t="n">
        <v>45610</v>
      </c>
      <c r="B154" s="34" t="n">
        <v>11</v>
      </c>
      <c r="C154" s="23" t="n">
        <v>0.09090909090909091</v>
      </c>
      <c r="D154" s="23" t="n">
        <v>0.06378912757168138</v>
      </c>
      <c r="E154" s="23" t="n">
        <v>0.02242481547862657</v>
      </c>
      <c r="F154" s="23" t="n">
        <v>0.0371053782864562</v>
      </c>
      <c r="G154" s="23" t="n">
        <v>0.09003796271468692</v>
      </c>
      <c r="H154" s="23" t="n">
        <v>0.1315499795368267</v>
      </c>
      <c r="I154" s="23" t="n">
        <v>0.2129510718469072</v>
      </c>
    </row>
    <row r="155">
      <c r="A155" s="33" t="n">
        <v>45611</v>
      </c>
      <c r="B155" s="34" t="n">
        <v>11</v>
      </c>
      <c r="C155" s="23" t="n">
        <v>0.09090909090909091</v>
      </c>
      <c r="D155" s="23" t="n">
        <v>0.06351420675144803</v>
      </c>
      <c r="E155" s="23" t="n">
        <v>0.02230903523081766</v>
      </c>
      <c r="F155" s="23" t="n">
        <v>0.03722703986720471</v>
      </c>
      <c r="G155" s="23" t="n">
        <v>0.09150425002146476</v>
      </c>
      <c r="H155" s="23" t="n">
        <v>0.1333605220228385</v>
      </c>
      <c r="I155" s="23" t="n">
        <v>0.2092956698434504</v>
      </c>
    </row>
    <row r="156">
      <c r="A156" s="33" t="n">
        <v>45614</v>
      </c>
      <c r="B156" s="34" t="n">
        <v>11</v>
      </c>
      <c r="C156" s="23" t="n">
        <v>0.09090909090909091</v>
      </c>
      <c r="D156" s="23" t="n">
        <v>0.06678728868961629</v>
      </c>
      <c r="E156" s="23" t="n">
        <v>0.02113004079212952</v>
      </c>
      <c r="F156" s="23" t="n">
        <v>0.03325828898894802</v>
      </c>
      <c r="G156" s="23" t="n">
        <v>0.09025787965616046</v>
      </c>
      <c r="H156" s="23" t="n">
        <v>0.1352703713636428</v>
      </c>
      <c r="I156" s="23" t="n">
        <v>0.223164001298573</v>
      </c>
    </row>
    <row r="157">
      <c r="A157" s="33" t="n">
        <v>45615</v>
      </c>
      <c r="B157" s="34" t="n">
        <v>11</v>
      </c>
      <c r="C157" s="23" t="n">
        <v>0.0909090909090909</v>
      </c>
      <c r="D157" s="23" t="n">
        <v>0.06486324075295227</v>
      </c>
      <c r="E157" s="23" t="n">
        <v>0.02175691731944534</v>
      </c>
      <c r="F157" s="23" t="n">
        <v>0.03383065462850313</v>
      </c>
      <c r="G157" s="23" t="n">
        <v>0.09078425931854887</v>
      </c>
      <c r="H157" s="23" t="n">
        <v>0.1370017004261738</v>
      </c>
      <c r="I157" s="23" t="n">
        <v>0.2132505175983437</v>
      </c>
    </row>
    <row r="158">
      <c r="A158" s="33" t="n">
        <v>45616</v>
      </c>
      <c r="B158" s="34" t="n">
        <v>11</v>
      </c>
      <c r="C158" s="23" t="n">
        <v>0.09090909090909091</v>
      </c>
      <c r="D158" s="23" t="n">
        <v>0.06503625320253166</v>
      </c>
      <c r="E158" s="23" t="n">
        <v>0.02203668995285966</v>
      </c>
      <c r="F158" s="23" t="n">
        <v>0.03391761799284376</v>
      </c>
      <c r="G158" s="23" t="n">
        <v>0.09079485431930483</v>
      </c>
      <c r="H158" s="23" t="n">
        <v>0.1353367978644857</v>
      </c>
      <c r="I158" s="23" t="n">
        <v>0.2149855171238712</v>
      </c>
    </row>
    <row r="159">
      <c r="A159" s="33" t="n">
        <v>45617</v>
      </c>
      <c r="B159" s="34" t="n">
        <v>11</v>
      </c>
      <c r="C159" s="23" t="n">
        <v>0.0909090909090909</v>
      </c>
      <c r="D159" s="23" t="n">
        <v>0.06574365639837496</v>
      </c>
      <c r="E159" s="23" t="n">
        <v>0.02210518721592959</v>
      </c>
      <c r="F159" s="23" t="n">
        <v>0.03450328259144361</v>
      </c>
      <c r="G159" s="23" t="n">
        <v>0.08680470384532141</v>
      </c>
      <c r="H159" s="23" t="n">
        <v>0.1367974893586321</v>
      </c>
      <c r="I159" s="23" t="n">
        <v>0.2162398095375514</v>
      </c>
    </row>
    <row r="160">
      <c r="A160" s="33" t="n">
        <v>45618</v>
      </c>
      <c r="B160" s="34" t="n">
        <v>11</v>
      </c>
      <c r="C160" s="23" t="n">
        <v>0.09090909090909091</v>
      </c>
      <c r="D160" s="23" t="n">
        <v>0.06670282164085704</v>
      </c>
      <c r="E160" s="23" t="n">
        <v>0.0213856919184049</v>
      </c>
      <c r="F160" s="23" t="n">
        <v>0.03424530472013831</v>
      </c>
      <c r="G160" s="23" t="n">
        <v>0.08589894852444663</v>
      </c>
      <c r="H160" s="23" t="n">
        <v>0.1365322825998234</v>
      </c>
      <c r="I160" s="23" t="n">
        <v>0.2201197658110906</v>
      </c>
    </row>
    <row r="161">
      <c r="A161" s="33" t="n">
        <v>45621</v>
      </c>
      <c r="B161" s="34" t="n">
        <v>11</v>
      </c>
      <c r="C161" s="23" t="n">
        <v>0.09090909090909091</v>
      </c>
      <c r="D161" s="23" t="n">
        <v>0.06206632841448566</v>
      </c>
      <c r="E161" s="23" t="n">
        <v>0.02025323489168409</v>
      </c>
      <c r="F161" s="23" t="n">
        <v>0.0379817609757114</v>
      </c>
      <c r="G161" s="23" t="n">
        <v>0.07973495766684957</v>
      </c>
      <c r="H161" s="23" t="n">
        <v>0.1363030206213492</v>
      </c>
      <c r="I161" s="23" t="n">
        <v>0.2110406523264133</v>
      </c>
    </row>
    <row r="162">
      <c r="A162" s="33" t="n">
        <v>45622</v>
      </c>
      <c r="B162" s="34" t="n">
        <v>11</v>
      </c>
      <c r="C162" s="23" t="n">
        <v>0.09090909090909093</v>
      </c>
      <c r="D162" s="23" t="n">
        <v>0.06321066892175879</v>
      </c>
      <c r="E162" s="23" t="n">
        <v>0.01905277116223223</v>
      </c>
      <c r="F162" s="23" t="n">
        <v>0.03590536947730226</v>
      </c>
      <c r="G162" s="23" t="n">
        <v>0.08007705552880016</v>
      </c>
      <c r="H162" s="23" t="n">
        <v>0.1337289466218936</v>
      </c>
      <c r="I162" s="23" t="n">
        <v>0.2031745822310478</v>
      </c>
    </row>
    <row r="163">
      <c r="A163" s="33" t="n">
        <v>45623</v>
      </c>
      <c r="B163" s="34" t="n">
        <v>11</v>
      </c>
      <c r="C163" s="23" t="n">
        <v>0.09090909090909091</v>
      </c>
      <c r="D163" s="23" t="n">
        <v>0.06252127649021312</v>
      </c>
      <c r="E163" s="23" t="n">
        <v>0.01922465324878467</v>
      </c>
      <c r="F163" s="23" t="n">
        <v>0.03578498503955917</v>
      </c>
      <c r="G163" s="23" t="n">
        <v>0.08093566036878623</v>
      </c>
      <c r="H163" s="23" t="n">
        <v>0.1326351794279335</v>
      </c>
      <c r="I163" s="23" t="n">
        <v>0.2018913112615449</v>
      </c>
    </row>
    <row r="164">
      <c r="A164" s="33" t="n">
        <v>45624</v>
      </c>
      <c r="B164" s="34" t="n">
        <v>11</v>
      </c>
      <c r="C164" s="23" t="n">
        <v>0.09090909090909091</v>
      </c>
      <c r="D164" s="23" t="n">
        <v>0.06412501014207775</v>
      </c>
      <c r="E164" s="23" t="n">
        <v>0.01927228480590337</v>
      </c>
      <c r="F164" s="23" t="n">
        <v>0.03251298556868286</v>
      </c>
      <c r="G164" s="23" t="n">
        <v>0.0808179926992974</v>
      </c>
      <c r="H164" s="23" t="n">
        <v>0.1325967212256807</v>
      </c>
      <c r="I164" s="23" t="n">
        <v>0.2068597820256179</v>
      </c>
    </row>
    <row r="165">
      <c r="A165" s="33" t="n">
        <v>45625</v>
      </c>
      <c r="B165" s="34" t="n">
        <v>11</v>
      </c>
      <c r="C165" s="23" t="n">
        <v>0.09090909090909091</v>
      </c>
      <c r="D165" s="23" t="n">
        <v>0.06628607517396978</v>
      </c>
      <c r="E165" s="23" t="n">
        <v>0.01867036709978554</v>
      </c>
      <c r="F165" s="23" t="n">
        <v>0.03173331651318279</v>
      </c>
      <c r="G165" s="23" t="n">
        <v>0.07865522896429923</v>
      </c>
      <c r="H165" s="23" t="n">
        <v>0.1283083133594046</v>
      </c>
      <c r="I165" s="23" t="n">
        <v>0.2009776712501577</v>
      </c>
    </row>
    <row r="166">
      <c r="A166" s="33" t="n">
        <v>45628</v>
      </c>
      <c r="B166" s="34" t="n">
        <v>11</v>
      </c>
      <c r="C166" s="23" t="n">
        <v>0.0909090909090909</v>
      </c>
      <c r="D166" s="23" t="n">
        <v>0.06653600844967929</v>
      </c>
      <c r="E166" s="23" t="n">
        <v>0.01851897977483312</v>
      </c>
      <c r="F166" s="23" t="n">
        <v>0.03169522765766664</v>
      </c>
      <c r="G166" s="23" t="n">
        <v>0.07801135797549068</v>
      </c>
      <c r="H166" s="23" t="n">
        <v>0.1275468267410581</v>
      </c>
      <c r="I166" s="23" t="n">
        <v>0.2020524060974395</v>
      </c>
    </row>
    <row r="167">
      <c r="A167" s="33" t="n">
        <v>45629</v>
      </c>
      <c r="B167" s="34" t="n">
        <v>11</v>
      </c>
      <c r="C167" s="23" t="n">
        <v>0.09090909090909091</v>
      </c>
      <c r="D167" s="23" t="n">
        <v>0.06689737448798588</v>
      </c>
      <c r="E167" s="23" t="n">
        <v>0.01833609554136174</v>
      </c>
      <c r="F167" s="23" t="n">
        <v>0.03132778408844031</v>
      </c>
      <c r="G167" s="23" t="n">
        <v>0.07758390594836843</v>
      </c>
      <c r="H167" s="23" t="n">
        <v>0.129072705039633</v>
      </c>
      <c r="I167" s="23" t="n">
        <v>0.2035095559983365</v>
      </c>
    </row>
    <row r="168">
      <c r="A168" s="33" t="n">
        <v>45630</v>
      </c>
      <c r="B168" s="34" t="n">
        <v>11</v>
      </c>
      <c r="C168" s="23" t="n">
        <v>0.09090909090909091</v>
      </c>
      <c r="D168" s="23" t="n">
        <v>0.06716741598165989</v>
      </c>
      <c r="E168" s="23" t="n">
        <v>0.01791115815051636</v>
      </c>
      <c r="F168" s="23" t="n">
        <v>0.0309625055580954</v>
      </c>
      <c r="G168" s="23" t="n">
        <v>0.07736868803897869</v>
      </c>
      <c r="H168" s="23" t="n">
        <v>0.1299905434095079</v>
      </c>
      <c r="I168" s="23" t="n">
        <v>0.2076066058355305</v>
      </c>
    </row>
    <row r="169">
      <c r="A169" s="33" t="n">
        <v>45631</v>
      </c>
      <c r="B169" s="34" t="n">
        <v>11</v>
      </c>
      <c r="C169" s="23" t="n">
        <v>0.09090909090909091</v>
      </c>
      <c r="D169" s="23" t="n">
        <v>0.06714712669175846</v>
      </c>
      <c r="E169" s="23" t="n">
        <v>0.01792738843927739</v>
      </c>
      <c r="F169" s="23" t="n">
        <v>0.03129463055298038</v>
      </c>
      <c r="G169" s="23" t="n">
        <v>0.07738468091503596</v>
      </c>
      <c r="H169" s="23" t="n">
        <v>0.1289180927563829</v>
      </c>
      <c r="I169" s="23" t="n">
        <v>0.2068352083385533</v>
      </c>
    </row>
    <row r="170">
      <c r="A170" s="33" t="n">
        <v>45632</v>
      </c>
      <c r="B170" s="34" t="n">
        <v>11</v>
      </c>
      <c r="C170" s="23" t="n">
        <v>0.09090909090909093</v>
      </c>
      <c r="D170" s="23" t="n">
        <v>0.06707453259887579</v>
      </c>
      <c r="E170" s="23" t="n">
        <v>0.01814246846401187</v>
      </c>
      <c r="F170" s="23" t="n">
        <v>0.03178951273806579</v>
      </c>
      <c r="G170" s="23" t="n">
        <v>0.07728790502102399</v>
      </c>
      <c r="H170" s="23" t="n">
        <v>0.1288090526836508</v>
      </c>
      <c r="I170" s="23" t="n">
        <v>0.204903536977492</v>
      </c>
    </row>
    <row r="171">
      <c r="A171" s="33" t="n">
        <v>45635</v>
      </c>
      <c r="B171" s="34" t="n">
        <v>11</v>
      </c>
      <c r="C171" s="23" t="n">
        <v>0.0909090909090909</v>
      </c>
      <c r="D171" s="23" t="n">
        <v>0.06433385184107825</v>
      </c>
      <c r="E171" s="23" t="n">
        <v>0.018715953307393</v>
      </c>
      <c r="F171" s="23" t="n">
        <v>0.03302853437094682</v>
      </c>
      <c r="G171" s="23" t="n">
        <v>0.08068093385214008</v>
      </c>
      <c r="H171" s="23" t="n">
        <v>0.1341472114137484</v>
      </c>
      <c r="I171" s="23" t="n">
        <v>0.2003891050583658</v>
      </c>
    </row>
    <row r="172">
      <c r="A172" s="33" t="n">
        <v>45636</v>
      </c>
      <c r="B172" s="34" t="n">
        <v>11</v>
      </c>
      <c r="C172" s="23" t="n">
        <v>0.0909090909090909</v>
      </c>
      <c r="D172" s="23" t="n">
        <v>0.06351717290275866</v>
      </c>
      <c r="E172" s="23" t="n">
        <v>0.02027913634736968</v>
      </c>
      <c r="F172" s="23" t="n">
        <v>0.03580074520563325</v>
      </c>
      <c r="G172" s="23" t="n">
        <v>0.081341089459761</v>
      </c>
      <c r="H172" s="23" t="n">
        <v>0.1269551122369501</v>
      </c>
      <c r="I172" s="23" t="n">
        <v>0.2197163727712247</v>
      </c>
    </row>
    <row r="173">
      <c r="A173" s="33" t="n">
        <v>45637</v>
      </c>
      <c r="B173" s="34" t="n">
        <v>11</v>
      </c>
      <c r="C173" s="23" t="n">
        <v>0.0909090909090909</v>
      </c>
      <c r="D173" s="23" t="n">
        <v>0.06600652607348391</v>
      </c>
      <c r="E173" s="23" t="n">
        <v>0.02016012821504137</v>
      </c>
      <c r="F173" s="23" t="n">
        <v>0.03557897104617569</v>
      </c>
      <c r="G173" s="23" t="n">
        <v>0.08232755287816057</v>
      </c>
      <c r="H173" s="23" t="n">
        <v>0.1275648280273582</v>
      </c>
      <c r="I173" s="23" t="n">
        <v>0.2266186797505992</v>
      </c>
    </row>
    <row r="174">
      <c r="A174" s="33" t="n">
        <v>45638</v>
      </c>
      <c r="B174" s="34" t="n">
        <v>11</v>
      </c>
      <c r="C174" s="23" t="n">
        <v>0.0909090909090909</v>
      </c>
      <c r="D174" s="23" t="n">
        <v>0.06585548384667199</v>
      </c>
      <c r="E174" s="23" t="n">
        <v>0.01985530824881443</v>
      </c>
      <c r="F174" s="23" t="n">
        <v>0.03518640312921873</v>
      </c>
      <c r="G174" s="23" t="n">
        <v>0.08346429436809859</v>
      </c>
      <c r="H174" s="23" t="n">
        <v>0.1274637405240749</v>
      </c>
      <c r="I174" s="23" t="n">
        <v>0.226044515213403</v>
      </c>
    </row>
    <row r="175">
      <c r="A175" s="33" t="n">
        <v>45639</v>
      </c>
      <c r="B175" s="34" t="n">
        <v>11</v>
      </c>
      <c r="C175" s="23" t="n">
        <v>0.0909090909090909</v>
      </c>
      <c r="D175" s="23" t="n">
        <v>0.06820981996173749</v>
      </c>
      <c r="E175" s="23" t="n">
        <v>0.01644984569040623</v>
      </c>
      <c r="F175" s="23" t="n">
        <v>0.03636242819804787</v>
      </c>
      <c r="G175" s="23" t="n">
        <v>0.08789001934407348</v>
      </c>
      <c r="H175" s="23" t="n">
        <v>0.1239940343468053</v>
      </c>
      <c r="I175" s="23" t="n">
        <v>0.2311838277639137</v>
      </c>
    </row>
    <row r="176">
      <c r="A176" s="33" t="n">
        <v>45642</v>
      </c>
      <c r="B176" s="34" t="n">
        <v>11</v>
      </c>
      <c r="C176" s="23" t="n">
        <v>0.09090909090909091</v>
      </c>
      <c r="D176" s="23" t="n">
        <v>0.0680144782988075</v>
      </c>
      <c r="E176" s="23" t="n">
        <v>0.01653137845578524</v>
      </c>
      <c r="F176" s="23" t="n">
        <v>0.0358377728642023</v>
      </c>
      <c r="G176" s="23" t="n">
        <v>0.08767269651416446</v>
      </c>
      <c r="H176" s="23" t="n">
        <v>0.1260888598691142</v>
      </c>
      <c r="I176" s="23" t="n">
        <v>0.2285084660246041</v>
      </c>
    </row>
    <row r="177">
      <c r="A177" s="33" t="n">
        <v>45643</v>
      </c>
      <c r="B177" s="34" t="n">
        <v>11</v>
      </c>
      <c r="C177" s="23" t="n">
        <v>0.09090909090909091</v>
      </c>
      <c r="D177" s="23" t="n">
        <v>0.06783901080034588</v>
      </c>
      <c r="E177" s="23" t="n">
        <v>0.01607671273925909</v>
      </c>
      <c r="F177" s="23" t="n">
        <v>0.03614263774955988</v>
      </c>
      <c r="G177" s="23" t="n">
        <v>0.08762033187249503</v>
      </c>
      <c r="H177" s="23" t="n">
        <v>0.1261939543768963</v>
      </c>
      <c r="I177" s="23" t="n">
        <v>0.2245420833801551</v>
      </c>
    </row>
    <row r="178">
      <c r="A178" s="33" t="n">
        <v>45644</v>
      </c>
      <c r="B178" s="34" t="n">
        <v>11</v>
      </c>
      <c r="C178" s="23" t="n">
        <v>0.09090909090909091</v>
      </c>
      <c r="D178" s="23" t="n">
        <v>0.06932079246484983</v>
      </c>
      <c r="E178" s="23" t="n">
        <v>0.01585953824230835</v>
      </c>
      <c r="F178" s="23" t="n">
        <v>0.03555105988673868</v>
      </c>
      <c r="G178" s="23" t="n">
        <v>0.08617901786043902</v>
      </c>
      <c r="H178" s="23" t="n">
        <v>0.1256469702227571</v>
      </c>
      <c r="I178" s="23" t="n">
        <v>0.2327099284548764</v>
      </c>
    </row>
    <row r="179">
      <c r="A179" s="33" t="n">
        <v>45645</v>
      </c>
      <c r="B179" s="34" t="n">
        <v>11</v>
      </c>
      <c r="C179" s="23" t="n">
        <v>0.09090909090909091</v>
      </c>
      <c r="D179" s="23" t="n">
        <v>0.06774092178148795</v>
      </c>
      <c r="E179" s="23" t="n">
        <v>0.01589540376564354</v>
      </c>
      <c r="F179" s="23" t="n">
        <v>0.0363877881508347</v>
      </c>
      <c r="G179" s="23" t="n">
        <v>0.08752173491242603</v>
      </c>
      <c r="H179" s="23" t="n">
        <v>0.1263908478294938</v>
      </c>
      <c r="I179" s="23" t="n">
        <v>0.2252147372034537</v>
      </c>
    </row>
    <row r="180">
      <c r="A180" s="33" t="n">
        <v>45646</v>
      </c>
      <c r="B180" s="34" t="n">
        <v>11</v>
      </c>
      <c r="C180" s="23" t="n">
        <v>0.09090909090909091</v>
      </c>
      <c r="D180" s="23" t="n">
        <v>0.06758931414175542</v>
      </c>
      <c r="E180" s="23" t="n">
        <v>0.01575792947091966</v>
      </c>
      <c r="F180" s="23" t="n">
        <v>0.03686203206955637</v>
      </c>
      <c r="G180" s="23" t="n">
        <v>0.08871130665110329</v>
      </c>
      <c r="H180" s="23" t="n">
        <v>0.1262766841006532</v>
      </c>
      <c r="I180" s="23" t="n">
        <v>0.2250405920073028</v>
      </c>
    </row>
    <row r="181">
      <c r="A181" s="33" t="n">
        <v>45649</v>
      </c>
      <c r="B181" s="34" t="n">
        <v>11</v>
      </c>
      <c r="C181" s="23" t="n">
        <v>0.0909090909090909</v>
      </c>
      <c r="D181" s="23" t="n">
        <v>0.06739052324365143</v>
      </c>
      <c r="E181" s="23" t="n">
        <v>0.01561340541850287</v>
      </c>
      <c r="F181" s="23" t="n">
        <v>0.03663319855223903</v>
      </c>
      <c r="G181" s="23" t="n">
        <v>0.0881377493071646</v>
      </c>
      <c r="H181" s="23" t="n">
        <v>0.1280155376857026</v>
      </c>
      <c r="I181" s="23" t="n">
        <v>0.2191555737282874</v>
      </c>
    </row>
    <row r="182">
      <c r="A182" s="33" t="n">
        <v>45650</v>
      </c>
      <c r="B182" s="34" t="n">
        <v>11</v>
      </c>
      <c r="C182" s="23" t="n">
        <v>0.09090909090909091</v>
      </c>
      <c r="D182" s="23" t="n">
        <v>0.06742583730059099</v>
      </c>
      <c r="E182" s="23" t="n">
        <v>0.01561105820780253</v>
      </c>
      <c r="F182" s="23" t="n">
        <v>0.03647828923196893</v>
      </c>
      <c r="G182" s="23" t="n">
        <v>0.08763787143746204</v>
      </c>
      <c r="H182" s="23" t="n">
        <v>0.1278802102469127</v>
      </c>
      <c r="I182" s="23" t="n">
        <v>0.2185623130159635</v>
      </c>
    </row>
    <row r="183">
      <c r="A183" s="33" t="n">
        <v>45651</v>
      </c>
      <c r="B183" s="34" t="n">
        <v>11</v>
      </c>
      <c r="C183" s="23" t="n">
        <v>0.0909090909090909</v>
      </c>
      <c r="D183" s="23" t="n">
        <v>0.06712410260981988</v>
      </c>
      <c r="E183" s="23" t="n">
        <v>0.01562088106589541</v>
      </c>
      <c r="F183" s="23" t="n">
        <v>0.03678514133357435</v>
      </c>
      <c r="G183" s="23" t="n">
        <v>0.08712746006281492</v>
      </c>
      <c r="H183" s="23" t="n">
        <v>0.1291773052850397</v>
      </c>
      <c r="I183" s="23" t="n">
        <v>0.2164403371218112</v>
      </c>
    </row>
    <row r="184">
      <c r="A184" s="33" t="n">
        <v>45652</v>
      </c>
      <c r="B184" s="34" t="n">
        <v>11</v>
      </c>
      <c r="C184" s="23" t="n">
        <v>0.09090909090909091</v>
      </c>
      <c r="D184" s="23" t="n">
        <v>0.06663895906841148</v>
      </c>
      <c r="E184" s="23" t="n">
        <v>0.01579286065790968</v>
      </c>
      <c r="F184" s="23" t="n">
        <v>0.03682098648597494</v>
      </c>
      <c r="G184" s="23" t="n">
        <v>0.08776166862247795</v>
      </c>
      <c r="H184" s="23" t="n">
        <v>0.1287579967445206</v>
      </c>
      <c r="I184" s="23" t="n">
        <v>0.2136654427073476</v>
      </c>
    </row>
    <row r="185">
      <c r="A185" s="33" t="n">
        <v>45653</v>
      </c>
      <c r="B185" s="34" t="n">
        <v>11</v>
      </c>
      <c r="C185" s="23" t="n">
        <v>0.09090909090909091</v>
      </c>
      <c r="D185" s="23" t="n">
        <v>0.06683200720962519</v>
      </c>
      <c r="E185" s="23" t="n">
        <v>0.01587767418410577</v>
      </c>
      <c r="F185" s="23" t="n">
        <v>0.03655627544378476</v>
      </c>
      <c r="G185" s="23" t="n">
        <v>0.08885477571844594</v>
      </c>
      <c r="H185" s="23" t="n">
        <v>0.1286317357834616</v>
      </c>
      <c r="I185" s="23" t="n">
        <v>0.2146947498325696</v>
      </c>
    </row>
    <row r="186">
      <c r="A186" s="33" t="n">
        <v>45656</v>
      </c>
      <c r="B186" s="34" t="n">
        <v>11</v>
      </c>
      <c r="C186" s="23" t="n">
        <v>0.09090909090909091</v>
      </c>
      <c r="D186" s="23" t="n">
        <v>0.06660005774723786</v>
      </c>
      <c r="E186" s="23" t="n">
        <v>0.01556842049791844</v>
      </c>
      <c r="F186" s="23" t="n">
        <v>0.0363313333283145</v>
      </c>
      <c r="G186" s="23" t="n">
        <v>0.08877312113706684</v>
      </c>
      <c r="H186" s="23" t="n">
        <v>0.1300316939314779</v>
      </c>
      <c r="I186" s="23" t="n">
        <v>0.2116868549230989</v>
      </c>
    </row>
    <row r="187">
      <c r="A187" s="33" t="n">
        <v>45657</v>
      </c>
      <c r="B187" s="34" t="n">
        <v>11</v>
      </c>
      <c r="C187" s="23" t="n">
        <v>0.09090909090909091</v>
      </c>
      <c r="D187" s="23" t="n">
        <v>0.06693153831467631</v>
      </c>
      <c r="E187" s="23" t="n">
        <v>0.01548517149751077</v>
      </c>
      <c r="F187" s="23" t="n">
        <v>0.03557847958217526</v>
      </c>
      <c r="G187" s="23" t="n">
        <v>0.08832961729941052</v>
      </c>
      <c r="H187" s="23" t="n">
        <v>0.1304213371613573</v>
      </c>
      <c r="I187" s="23" t="n">
        <v>0.2099890046119544</v>
      </c>
    </row>
    <row r="188">
      <c r="A188" s="33" t="n">
        <v>45659</v>
      </c>
      <c r="B188" s="34" t="n">
        <v>11</v>
      </c>
      <c r="C188" s="23" t="n">
        <v>0.09090909090909091</v>
      </c>
      <c r="D188" s="23" t="n">
        <v>0.06696054013460376</v>
      </c>
      <c r="E188" s="23" t="n">
        <v>0.01571978853141618</v>
      </c>
      <c r="F188" s="23" t="n">
        <v>0.03510050995742557</v>
      </c>
      <c r="G188" s="23" t="n">
        <v>0.08739453862108759</v>
      </c>
      <c r="H188" s="23" t="n">
        <v>0.1307526160659982</v>
      </c>
      <c r="I188" s="23" t="n">
        <v>0.2104237169190462</v>
      </c>
    </row>
    <row r="189">
      <c r="A189" s="33" t="n">
        <v>45660</v>
      </c>
      <c r="B189" s="34" t="n">
        <v>11</v>
      </c>
      <c r="C189" s="23" t="n">
        <v>0.09090909090909091</v>
      </c>
      <c r="D189" s="23" t="n">
        <v>0.06696817209262321</v>
      </c>
      <c r="E189" s="23" t="n">
        <v>0.01545341065305671</v>
      </c>
      <c r="F189" s="23" t="n">
        <v>0.03497163714506929</v>
      </c>
      <c r="G189" s="23" t="n">
        <v>0.08848578697046787</v>
      </c>
      <c r="H189" s="23" t="n">
        <v>0.1326338742553763</v>
      </c>
      <c r="I189" s="23" t="n">
        <v>0.2075070709624409</v>
      </c>
    </row>
    <row r="190">
      <c r="A190" s="33" t="n">
        <v>45663</v>
      </c>
      <c r="B190" s="34" t="n">
        <v>11</v>
      </c>
      <c r="C190" s="23" t="n">
        <v>0.09090909090909091</v>
      </c>
      <c r="D190" s="23" t="n">
        <v>0.06642164971431655</v>
      </c>
      <c r="E190" s="23" t="n">
        <v>0.0152399301963819</v>
      </c>
      <c r="F190" s="23" t="n">
        <v>0.03554536050726068</v>
      </c>
      <c r="G190" s="23" t="n">
        <v>0.09096580096493237</v>
      </c>
      <c r="H190" s="23" t="n">
        <v>0.1322320575485033</v>
      </c>
      <c r="I190" s="23" t="n">
        <v>0.2065839656983126</v>
      </c>
    </row>
    <row r="191">
      <c r="A191" s="33" t="n">
        <v>45664</v>
      </c>
      <c r="B191" s="34" t="n">
        <v>11</v>
      </c>
      <c r="C191" s="23" t="n">
        <v>0.09090909090909091</v>
      </c>
      <c r="D191" s="23" t="n">
        <v>0.06559777314172582</v>
      </c>
      <c r="E191" s="23" t="n">
        <v>0.01511016856648318</v>
      </c>
      <c r="F191" s="23" t="n">
        <v>0.03493739181961359</v>
      </c>
      <c r="G191" s="23" t="n">
        <v>0.08769823324860827</v>
      </c>
      <c r="H191" s="23" t="n">
        <v>0.1314771788114582</v>
      </c>
      <c r="I191" s="23" t="n">
        <v>0.2055856164917588</v>
      </c>
    </row>
    <row r="192">
      <c r="A192" s="33" t="n">
        <v>45665</v>
      </c>
      <c r="B192" s="34" t="n">
        <v>11</v>
      </c>
      <c r="C192" s="23" t="n">
        <v>0.0909090909090909</v>
      </c>
      <c r="D192" s="23" t="n">
        <v>0.06457114617518087</v>
      </c>
      <c r="E192" s="23" t="n">
        <v>0.01779008016421612</v>
      </c>
      <c r="F192" s="23" t="n">
        <v>0.03425445723927191</v>
      </c>
      <c r="G192" s="23" t="n">
        <v>0.08695990234116834</v>
      </c>
      <c r="H192" s="23" t="n">
        <v>0.1316061612148261</v>
      </c>
      <c r="I192" s="23" t="n">
        <v>0.2026187495626346</v>
      </c>
    </row>
    <row r="193">
      <c r="A193" s="33" t="n">
        <v>45666</v>
      </c>
      <c r="B193" s="34" t="n">
        <v>11</v>
      </c>
      <c r="C193" s="23" t="n">
        <v>0.0909090909090909</v>
      </c>
      <c r="D193" s="23" t="n">
        <v>0.06304972552250819</v>
      </c>
      <c r="E193" s="23" t="n">
        <v>0.01745356903110315</v>
      </c>
      <c r="F193" s="23" t="n">
        <v>0.03396578730102391</v>
      </c>
      <c r="G193" s="23" t="n">
        <v>0.08506107205962916</v>
      </c>
      <c r="H193" s="23" t="n">
        <v>0.1287953025053819</v>
      </c>
      <c r="I193" s="23" t="n">
        <v>0.2026604732988171</v>
      </c>
    </row>
    <row r="194">
      <c r="A194" s="33" t="n">
        <v>45667</v>
      </c>
      <c r="B194" s="34" t="n">
        <v>11</v>
      </c>
      <c r="C194" s="23" t="n">
        <v>0.09090909090909091</v>
      </c>
      <c r="D194" s="23" t="n">
        <v>0.06024224349363656</v>
      </c>
      <c r="E194" s="23" t="n">
        <v>0.01673422562141491</v>
      </c>
      <c r="F194" s="23" t="n">
        <v>0.03281070745697897</v>
      </c>
      <c r="G194" s="23" t="n">
        <v>0.09315487571701721</v>
      </c>
      <c r="H194" s="23" t="n">
        <v>0.1263671128107074</v>
      </c>
      <c r="I194" s="23" t="n">
        <v>0.1922141491395793</v>
      </c>
    </row>
    <row r="195">
      <c r="A195" s="33" t="n">
        <v>45670</v>
      </c>
      <c r="B195" s="34" t="n">
        <v>11</v>
      </c>
      <c r="C195" s="23" t="n">
        <v>0.09090909090909091</v>
      </c>
      <c r="D195" s="23" t="n">
        <v>0.05911119949448052</v>
      </c>
      <c r="E195" s="23" t="n">
        <v>0.01692676706339568</v>
      </c>
      <c r="F195" s="23" t="n">
        <v>0.03646465873208647</v>
      </c>
      <c r="G195" s="23" t="n">
        <v>0.09157153266941948</v>
      </c>
      <c r="H195" s="23" t="n">
        <v>0.1238196805926646</v>
      </c>
      <c r="I195" s="23" t="n">
        <v>0.1931093636142822</v>
      </c>
    </row>
    <row r="196">
      <c r="A196" s="33" t="n">
        <v>45671</v>
      </c>
      <c r="B196" s="34" t="n">
        <v>11</v>
      </c>
      <c r="C196" s="23" t="n">
        <v>0.09090909090909091</v>
      </c>
      <c r="D196" s="23" t="n">
        <v>0.0540080636814395</v>
      </c>
      <c r="E196" s="23" t="n">
        <v>0.01657678680686976</v>
      </c>
      <c r="F196" s="23" t="n">
        <v>0.0491576431081831</v>
      </c>
      <c r="G196" s="23" t="n">
        <v>0.08957867926407603</v>
      </c>
      <c r="H196" s="23" t="n">
        <v>0.1179441938559171</v>
      </c>
      <c r="I196" s="23" t="n">
        <v>0.1846639821283741</v>
      </c>
    </row>
    <row r="197">
      <c r="A197" s="33" t="n">
        <v>45672</v>
      </c>
      <c r="B197" s="34" t="n">
        <v>11</v>
      </c>
      <c r="C197" s="23" t="n">
        <v>0.09090909090909091</v>
      </c>
      <c r="D197" s="23" t="n">
        <v>0.05312142187645061</v>
      </c>
      <c r="E197" s="23" t="n">
        <v>0.01612282995518329</v>
      </c>
      <c r="F197" s="23" t="n">
        <v>0.05138190691268082</v>
      </c>
      <c r="G197" s="23" t="n">
        <v>0.08822110510602893</v>
      </c>
      <c r="H197" s="23" t="n">
        <v>0.1170093758521118</v>
      </c>
      <c r="I197" s="23" t="n">
        <v>0.1821963685178323</v>
      </c>
    </row>
    <row r="198">
      <c r="A198" s="33" t="n">
        <v>45673</v>
      </c>
      <c r="B198" s="34" t="n">
        <v>11</v>
      </c>
      <c r="C198" s="23" t="n">
        <v>0.0909090909090909</v>
      </c>
      <c r="D198" s="23" t="n">
        <v>0.05115252240485535</v>
      </c>
      <c r="E198" s="23" t="n">
        <v>0.01548441096463695</v>
      </c>
      <c r="F198" s="23" t="n">
        <v>0.05899128580010665</v>
      </c>
      <c r="G198" s="23" t="n">
        <v>0.09289296586544628</v>
      </c>
      <c r="H198" s="23" t="n">
        <v>0.1163119562062518</v>
      </c>
      <c r="I198" s="23" t="n">
        <v>0.1772877305955491</v>
      </c>
    </row>
    <row r="199">
      <c r="A199" s="33" t="n">
        <v>45674</v>
      </c>
      <c r="B199" s="34" t="n">
        <v>11</v>
      </c>
      <c r="C199" s="23" t="n">
        <v>0.0909090909090909</v>
      </c>
      <c r="D199" s="23" t="n">
        <v>0.05079137176616856</v>
      </c>
      <c r="E199" s="23" t="n">
        <v>0.01531888841567291</v>
      </c>
      <c r="F199" s="23" t="n">
        <v>0.0584207304088586</v>
      </c>
      <c r="G199" s="23" t="n">
        <v>0.09176692930153323</v>
      </c>
      <c r="H199" s="23" t="n">
        <v>0.1204116535349233</v>
      </c>
      <c r="I199" s="23" t="n">
        <v>0.1734122125212947</v>
      </c>
    </row>
    <row r="200">
      <c r="A200" s="33" t="n">
        <v>45677</v>
      </c>
      <c r="B200" s="34" t="n">
        <v>11</v>
      </c>
      <c r="C200" s="23" t="n">
        <v>0.0909090909090909</v>
      </c>
      <c r="D200" s="23" t="n">
        <v>0.05619960968069026</v>
      </c>
      <c r="E200" s="23" t="n">
        <v>0.01571081177081341</v>
      </c>
      <c r="F200" s="23" t="n">
        <v>0.03805431842400066</v>
      </c>
      <c r="G200" s="23" t="n">
        <v>0.08883439438236017</v>
      </c>
      <c r="H200" s="23" t="n">
        <v>0.1363425230197546</v>
      </c>
      <c r="I200" s="23" t="n">
        <v>0.1787070684991393</v>
      </c>
    </row>
    <row r="201">
      <c r="A201" s="33" t="n">
        <v>45678</v>
      </c>
      <c r="B201" s="34" t="n">
        <v>11</v>
      </c>
      <c r="C201" s="23" t="n">
        <v>0.09090909090909091</v>
      </c>
      <c r="D201" s="23" t="n">
        <v>0.05582585466773807</v>
      </c>
      <c r="E201" s="23" t="n">
        <v>0.01572443748024136</v>
      </c>
      <c r="F201" s="23" t="n">
        <v>0.0378334914024164</v>
      </c>
      <c r="G201" s="23" t="n">
        <v>0.08968702321553751</v>
      </c>
      <c r="H201" s="23" t="n">
        <v>0.133767679683312</v>
      </c>
      <c r="I201" s="23" t="n">
        <v>0.1798001456984592</v>
      </c>
    </row>
    <row r="202">
      <c r="A202" s="33" t="n">
        <v>45679</v>
      </c>
      <c r="B202" s="34" t="n">
        <v>11</v>
      </c>
      <c r="C202" s="23" t="n">
        <v>0.09090909090909091</v>
      </c>
      <c r="D202" s="23" t="n">
        <v>0.05713362679041624</v>
      </c>
      <c r="E202" s="23" t="n">
        <v>0.01531333491156278</v>
      </c>
      <c r="F202" s="23" t="n">
        <v>0.03657884947072948</v>
      </c>
      <c r="G202" s="23" t="n">
        <v>0.08807196726301193</v>
      </c>
      <c r="H202" s="23" t="n">
        <v>0.1354628157868037</v>
      </c>
      <c r="I202" s="23" t="n">
        <v>0.1727755419527208</v>
      </c>
    </row>
    <row r="203">
      <c r="A203" s="33" t="n">
        <v>45680</v>
      </c>
      <c r="B203" s="34" t="n">
        <v>11</v>
      </c>
      <c r="C203" s="23" t="n">
        <v>0.0909090909090909</v>
      </c>
      <c r="D203" s="23" t="n">
        <v>0.05865611735250219</v>
      </c>
      <c r="E203" s="23" t="n">
        <v>0.01492862951478648</v>
      </c>
      <c r="F203" s="23" t="n">
        <v>0.03599267452546395</v>
      </c>
      <c r="G203" s="23" t="n">
        <v>0.08645778926698974</v>
      </c>
      <c r="H203" s="23" t="n">
        <v>0.1346188174780004</v>
      </c>
      <c r="I203" s="23" t="n">
        <v>0.1783501814840036</v>
      </c>
    </row>
    <row r="204">
      <c r="A204" s="33" t="n">
        <v>45681</v>
      </c>
      <c r="B204" s="34" t="n">
        <v>11</v>
      </c>
      <c r="C204" s="23" t="n">
        <v>0.09090909090909091</v>
      </c>
      <c r="D204" s="23" t="n">
        <v>0.0586079664394278</v>
      </c>
      <c r="E204" s="23" t="n">
        <v>0.01497029702970297</v>
      </c>
      <c r="F204" s="23" t="n">
        <v>0.03596699669966997</v>
      </c>
      <c r="G204" s="23" t="n">
        <v>0.08637623762376237</v>
      </c>
      <c r="H204" s="23" t="n">
        <v>0.1337359735973597</v>
      </c>
      <c r="I204" s="23" t="n">
        <v>0.1805940594059406</v>
      </c>
    </row>
    <row r="205">
      <c r="A205" s="33" t="n">
        <v>45684</v>
      </c>
      <c r="B205" s="34" t="n">
        <v>11</v>
      </c>
      <c r="C205" s="23" t="n">
        <v>0.0909090909090909</v>
      </c>
      <c r="D205" s="23" t="n">
        <v>0.05839043249542896</v>
      </c>
      <c r="E205" s="23" t="n">
        <v>0.01465778793490681</v>
      </c>
      <c r="F205" s="23" t="n">
        <v>0.03562000078805311</v>
      </c>
      <c r="G205" s="23" t="n">
        <v>0.08723747980613894</v>
      </c>
      <c r="H205" s="23" t="n">
        <v>0.1344254436082325</v>
      </c>
      <c r="I205" s="23" t="n">
        <v>0.1798862576671001</v>
      </c>
    </row>
    <row r="206">
      <c r="A206" s="33" t="n">
        <v>45693</v>
      </c>
      <c r="B206" s="34" t="n">
        <v>11</v>
      </c>
      <c r="C206" s="23" t="n">
        <v>0.09090909090909091</v>
      </c>
      <c r="D206" s="23" t="n">
        <v>0.05788912478858561</v>
      </c>
      <c r="E206" s="23" t="n">
        <v>0.01534378313399472</v>
      </c>
      <c r="F206" s="23" t="n">
        <v>0.0364820054972885</v>
      </c>
      <c r="G206" s="23" t="n">
        <v>0.08832805440559724</v>
      </c>
      <c r="H206" s="23" t="n">
        <v>0.1346801915271522</v>
      </c>
      <c r="I206" s="23" t="n">
        <v>0.1769059855611759</v>
      </c>
    </row>
    <row r="207">
      <c r="A207" s="33" t="n">
        <v>45694</v>
      </c>
      <c r="B207" s="34" t="n">
        <v>11</v>
      </c>
      <c r="C207" s="23" t="n">
        <v>0.0909090909090909</v>
      </c>
      <c r="D207" s="23" t="n">
        <v>0.05957602327741571</v>
      </c>
      <c r="E207" s="23" t="n">
        <v>0.01534089780021064</v>
      </c>
      <c r="F207" s="23" t="n">
        <v>0.03615974140386437</v>
      </c>
      <c r="G207" s="23" t="n">
        <v>0.08720995701104201</v>
      </c>
      <c r="H207" s="23" t="n">
        <v>0.1326265657187899</v>
      </c>
      <c r="I207" s="23" t="n">
        <v>0.1909796050844876</v>
      </c>
    </row>
    <row r="208">
      <c r="A208" s="33" t="n">
        <v>45695</v>
      </c>
      <c r="B208" s="34" t="n">
        <v>11</v>
      </c>
      <c r="C208" s="23" t="n">
        <v>0.09090909090909091</v>
      </c>
      <c r="D208" s="23" t="n">
        <v>0.06014391813207774</v>
      </c>
      <c r="E208" s="23" t="n">
        <v>0.01567997702184883</v>
      </c>
      <c r="F208" s="23" t="n">
        <v>0.03620364386476836</v>
      </c>
      <c r="G208" s="23" t="n">
        <v>0.08594611884665349</v>
      </c>
      <c r="H208" s="23" t="n">
        <v>0.1316772091990939</v>
      </c>
      <c r="I208" s="23" t="n">
        <v>0.1937475928428281</v>
      </c>
    </row>
    <row r="209">
      <c r="A209" s="33" t="n">
        <v>45698</v>
      </c>
      <c r="B209" s="34" t="n">
        <v>11</v>
      </c>
      <c r="C209" s="23" t="n">
        <v>0.09090909090909091</v>
      </c>
      <c r="D209" s="23" t="n">
        <v>0.06003848790418911</v>
      </c>
      <c r="E209" s="23" t="n">
        <v>0.01595696179447433</v>
      </c>
      <c r="F209" s="23" t="n">
        <v>0.03658377730594381</v>
      </c>
      <c r="G209" s="23" t="n">
        <v>0.08518412379997134</v>
      </c>
      <c r="H209" s="23" t="n">
        <v>0.1314951347549141</v>
      </c>
      <c r="I209" s="23" t="n">
        <v>0.19128815016478</v>
      </c>
    </row>
    <row r="210">
      <c r="A210" s="33" t="n">
        <v>45699</v>
      </c>
      <c r="B210" s="34" t="n">
        <v>11</v>
      </c>
      <c r="C210" s="23" t="n">
        <v>0.09090909090909091</v>
      </c>
      <c r="D210" s="23" t="n">
        <v>0.05850436033185865</v>
      </c>
      <c r="E210" s="23" t="n">
        <v>0.01592982877100371</v>
      </c>
      <c r="F210" s="23" t="n">
        <v>0.03691187938653497</v>
      </c>
      <c r="G210" s="23" t="n">
        <v>0.08698086420987383</v>
      </c>
      <c r="H210" s="23" t="n">
        <v>0.1340871674898189</v>
      </c>
      <c r="I210" s="23" t="n">
        <v>0.1810001799604087</v>
      </c>
    </row>
    <row r="211">
      <c r="A211" s="33" t="n">
        <v>45700</v>
      </c>
      <c r="B211" s="34" t="n">
        <v>11</v>
      </c>
      <c r="C211" s="23" t="n">
        <v>0.0909090909090909</v>
      </c>
      <c r="D211" s="23" t="n">
        <v>0.05869666134827745</v>
      </c>
      <c r="E211" s="23" t="n">
        <v>0.01591803734973293</v>
      </c>
      <c r="F211" s="23" t="n">
        <v>0.03685270845206696</v>
      </c>
      <c r="G211" s="23" t="n">
        <v>0.08744317353444048</v>
      </c>
      <c r="H211" s="23" t="n">
        <v>0.1339712918660287</v>
      </c>
      <c r="I211" s="23" t="n">
        <v>0.1791408766186431</v>
      </c>
    </row>
    <row r="212">
      <c r="A212" s="33" t="n">
        <v>45701</v>
      </c>
      <c r="B212" s="34" t="n">
        <v>11</v>
      </c>
      <c r="C212" s="23" t="n">
        <v>0.09090909090909091</v>
      </c>
      <c r="D212" s="23" t="n">
        <v>0.0578907198212906</v>
      </c>
      <c r="E212" s="23" t="n">
        <v>0.01591487083389104</v>
      </c>
      <c r="F212" s="23" t="n">
        <v>0.03704992638201044</v>
      </c>
      <c r="G212" s="23" t="n">
        <v>0.08753178958640075</v>
      </c>
      <c r="H212" s="23" t="n">
        <v>0.1364107883817428</v>
      </c>
      <c r="I212" s="23" t="n">
        <v>0.1792263418551733</v>
      </c>
    </row>
    <row r="213">
      <c r="A213" s="33" t="n">
        <v>45702</v>
      </c>
      <c r="B213" s="34" t="n">
        <v>11</v>
      </c>
      <c r="C213" s="23" t="n">
        <v>0.0909090909090909</v>
      </c>
      <c r="D213" s="23" t="n">
        <v>0.05633253215517359</v>
      </c>
      <c r="E213" s="23" t="n">
        <v>0.01650900275601482</v>
      </c>
      <c r="F213" s="23" t="n">
        <v>0.03765650710672616</v>
      </c>
      <c r="G213" s="23" t="n">
        <v>0.08993953019088957</v>
      </c>
      <c r="H213" s="23" t="n">
        <v>0.1384982089289463</v>
      </c>
      <c r="I213" s="23" t="n">
        <v>0.1771569032415339</v>
      </c>
    </row>
    <row r="214">
      <c r="A214" s="33" t="n">
        <v>45705</v>
      </c>
      <c r="B214" s="34" t="n">
        <v>11</v>
      </c>
      <c r="C214" s="23" t="n">
        <v>0.09090909090909091</v>
      </c>
      <c r="D214" s="23" t="n">
        <v>0.05620070547040155</v>
      </c>
      <c r="E214" s="23" t="n">
        <v>0.01660554059357703</v>
      </c>
      <c r="F214" s="23" t="n">
        <v>0.03822522364022682</v>
      </c>
      <c r="G214" s="23" t="n">
        <v>0.09007186260843675</v>
      </c>
      <c r="H214" s="23" t="n">
        <v>0.138037785386583</v>
      </c>
      <c r="I214" s="23" t="n">
        <v>0.1777280047637737</v>
      </c>
    </row>
    <row r="215">
      <c r="A215" s="33" t="n">
        <v>45706</v>
      </c>
      <c r="B215" s="34" t="n">
        <v>11</v>
      </c>
      <c r="C215" s="23" t="n">
        <v>0.09090909090909091</v>
      </c>
      <c r="D215" s="23" t="n">
        <v>0.05560205319418543</v>
      </c>
      <c r="E215" s="23" t="n">
        <v>0.01642662407402308</v>
      </c>
      <c r="F215" s="23" t="n">
        <v>0.03764492055186848</v>
      </c>
      <c r="G215" s="23" t="n">
        <v>0.09044281662214634</v>
      </c>
      <c r="H215" s="23" t="n">
        <v>0.1382597141519566</v>
      </c>
      <c r="I215" s="23" t="n">
        <v>0.1744416600115661</v>
      </c>
    </row>
    <row r="216">
      <c r="A216" s="33" t="n">
        <v>45707</v>
      </c>
      <c r="B216" s="34" t="n">
        <v>11</v>
      </c>
      <c r="C216" s="23" t="n">
        <v>0.09090909090909091</v>
      </c>
      <c r="D216" s="23" t="n">
        <v>0.05474665764652463</v>
      </c>
      <c r="E216" s="23" t="n">
        <v>0.01647764628533859</v>
      </c>
      <c r="F216" s="23" t="n">
        <v>0.04097153736576813</v>
      </c>
      <c r="G216" s="23" t="n">
        <v>0.08937376725838264</v>
      </c>
      <c r="H216" s="23" t="n">
        <v>0.1343585634451019</v>
      </c>
      <c r="I216" s="23" t="n">
        <v>0.1742343304843305</v>
      </c>
    </row>
    <row r="217">
      <c r="A217" s="33" t="n">
        <v>45708</v>
      </c>
      <c r="B217" s="34" t="n">
        <v>11</v>
      </c>
      <c r="C217" s="23" t="n">
        <v>0.09090909090909091</v>
      </c>
      <c r="D217" s="23" t="n">
        <v>0.0542416769920564</v>
      </c>
      <c r="E217" s="23" t="n">
        <v>0.0167148206121872</v>
      </c>
      <c r="F217" s="23" t="n">
        <v>0.04177326042435234</v>
      </c>
      <c r="G217" s="23" t="n">
        <v>0.0899869674047207</v>
      </c>
      <c r="H217" s="23" t="n">
        <v>0.1328186952234504</v>
      </c>
      <c r="I217" s="23" t="n">
        <v>0.1740092814144159</v>
      </c>
    </row>
    <row r="218">
      <c r="A218" s="33" t="n">
        <v>45709</v>
      </c>
      <c r="B218" s="34" t="n">
        <v>11</v>
      </c>
      <c r="C218" s="23" t="n">
        <v>0.09090909090909091</v>
      </c>
      <c r="D218" s="23" t="n">
        <v>0.05388686414527592</v>
      </c>
      <c r="E218" s="23" t="n">
        <v>0.01698794848459778</v>
      </c>
      <c r="F218" s="23" t="n">
        <v>0.04252157965858636</v>
      </c>
      <c r="G218" s="23" t="n">
        <v>0.09077245525495711</v>
      </c>
      <c r="H218" s="23" t="n">
        <v>0.1323322577976338</v>
      </c>
      <c r="I218" s="23" t="n">
        <v>0.1739816883152699</v>
      </c>
    </row>
    <row r="219">
      <c r="A219" s="33" t="n">
        <v>45712</v>
      </c>
      <c r="B219" s="34" t="n">
        <v>11</v>
      </c>
      <c r="C219" s="23" t="n">
        <v>0.09090909090909091</v>
      </c>
      <c r="D219" s="23" t="n">
        <v>0.05444858261211124</v>
      </c>
      <c r="E219" s="23" t="n">
        <v>0.0165084042785418</v>
      </c>
      <c r="F219" s="23" t="n">
        <v>0.04211007421960271</v>
      </c>
      <c r="G219" s="23" t="n">
        <v>0.09040738921632831</v>
      </c>
      <c r="H219" s="23" t="n">
        <v>0.1340455140798952</v>
      </c>
      <c r="I219" s="23" t="n">
        <v>0.1756576075092774</v>
      </c>
    </row>
    <row r="220">
      <c r="A220" s="33" t="n">
        <v>45713</v>
      </c>
      <c r="B220" s="34" t="n">
        <v>11</v>
      </c>
      <c r="C220" s="23" t="n">
        <v>0.09090909090909091</v>
      </c>
      <c r="D220" s="23" t="n">
        <v>0.05443472742676436</v>
      </c>
      <c r="E220" s="23" t="n">
        <v>0.01656106288653397</v>
      </c>
      <c r="F220" s="23" t="n">
        <v>0.04219899475313536</v>
      </c>
      <c r="G220" s="23" t="n">
        <v>0.09097553071932377</v>
      </c>
      <c r="H220" s="23" t="n">
        <v>0.1341777039279091</v>
      </c>
      <c r="I220" s="23" t="n">
        <v>0.1746978398913396</v>
      </c>
    </row>
    <row r="221">
      <c r="A221" s="33" t="n">
        <v>45714</v>
      </c>
      <c r="B221" s="34" t="n">
        <v>11</v>
      </c>
      <c r="C221" s="23" t="n">
        <v>0.09090909090909091</v>
      </c>
      <c r="D221" s="23" t="n">
        <v>0.05699868271577758</v>
      </c>
      <c r="E221" s="23" t="n">
        <v>0.0173008185106068</v>
      </c>
      <c r="F221" s="23" t="n">
        <v>0.04328024646968832</v>
      </c>
      <c r="G221" s="23" t="n">
        <v>0.0833033706280888</v>
      </c>
      <c r="H221" s="23" t="n">
        <v>0.1408775900114916</v>
      </c>
      <c r="I221" s="23" t="n">
        <v>0.183717208462878</v>
      </c>
    </row>
    <row r="222">
      <c r="A222" s="33" t="n">
        <v>45715</v>
      </c>
      <c r="B222" s="34" t="n">
        <v>11</v>
      </c>
      <c r="C222" s="23" t="n">
        <v>0.09090909090909091</v>
      </c>
      <c r="D222" s="23" t="n">
        <v>0.06175775813490322</v>
      </c>
      <c r="E222" s="23" t="n">
        <v>0.0177598915159336</v>
      </c>
      <c r="F222" s="23" t="n">
        <v>0.03860370508081626</v>
      </c>
      <c r="G222" s="23" t="n">
        <v>0.08702055218973047</v>
      </c>
      <c r="H222" s="23" t="n">
        <v>0.1468508271181004</v>
      </c>
      <c r="I222" s="23" t="n">
        <v>0.1892347061525338</v>
      </c>
    </row>
    <row r="223">
      <c r="A223" s="33" t="n">
        <v>45716</v>
      </c>
      <c r="B223" s="34" t="n">
        <v>11</v>
      </c>
      <c r="C223" s="23" t="n">
        <v>0.0909090909090909</v>
      </c>
      <c r="D223" s="23" t="n">
        <v>0.06354769325300169</v>
      </c>
      <c r="E223" s="23" t="n">
        <v>0.01673154261381965</v>
      </c>
      <c r="F223" s="23" t="n">
        <v>0.03726245008853237</v>
      </c>
      <c r="G223" s="23" t="n">
        <v>0.08395879481279167</v>
      </c>
      <c r="H223" s="23" t="n">
        <v>0.1475443916356624</v>
      </c>
      <c r="I223" s="23" t="n">
        <v>0.1823766819358122</v>
      </c>
    </row>
    <row r="224">
      <c r="A224" s="33" t="n">
        <v>45719</v>
      </c>
      <c r="B224" s="34" t="n">
        <v>11</v>
      </c>
      <c r="C224" s="23" t="n">
        <v>0.09090909090909091</v>
      </c>
      <c r="D224" s="23" t="n">
        <v>0.06545753944646962</v>
      </c>
      <c r="E224" s="23" t="n">
        <v>0.01649237123183502</v>
      </c>
      <c r="F224" s="23" t="n">
        <v>0.03650785899162126</v>
      </c>
      <c r="G224" s="23" t="n">
        <v>0.08366180871919017</v>
      </c>
      <c r="H224" s="23" t="n">
        <v>0.1430001604587726</v>
      </c>
      <c r="I224" s="23" t="n">
        <v>0.20075485387787</v>
      </c>
    </row>
    <row r="225">
      <c r="A225" s="33" t="n">
        <v>45720</v>
      </c>
      <c r="B225" s="34" t="n">
        <v>11</v>
      </c>
      <c r="C225" s="23" t="n">
        <v>0.09090909090909091</v>
      </c>
      <c r="D225" s="23" t="n">
        <v>0.06568665300495637</v>
      </c>
      <c r="E225" s="23" t="n">
        <v>0.01652570936155722</v>
      </c>
      <c r="F225" s="23" t="n">
        <v>0.03624120030299451</v>
      </c>
      <c r="G225" s="23" t="n">
        <v>0.08406012634036845</v>
      </c>
      <c r="H225" s="23" t="n">
        <v>0.1420842686087966</v>
      </c>
      <c r="I225" s="23" t="n">
        <v>0.2038749939192617</v>
      </c>
    </row>
    <row r="226">
      <c r="A226" s="33" t="n">
        <v>45721</v>
      </c>
      <c r="B226" s="34" t="n">
        <v>11</v>
      </c>
      <c r="C226" s="23" t="n">
        <v>0.09090909090909091</v>
      </c>
      <c r="D226" s="23" t="n">
        <v>0.0666332234720149</v>
      </c>
      <c r="E226" s="23" t="n">
        <v>0.01646616224714685</v>
      </c>
      <c r="F226" s="23" t="n">
        <v>0.03623117200331288</v>
      </c>
      <c r="G226" s="23" t="n">
        <v>0.08445049623089125</v>
      </c>
      <c r="H226" s="23" t="n">
        <v>0.144349144405295</v>
      </c>
      <c r="I226" s="23" t="n">
        <v>0.2056796327751028</v>
      </c>
    </row>
    <row r="227">
      <c r="A227" s="33" t="n">
        <v>45722</v>
      </c>
      <c r="B227" s="34" t="n">
        <v>11</v>
      </c>
      <c r="C227" s="23" t="n">
        <v>0.09090909090909091</v>
      </c>
      <c r="D227" s="23" t="n">
        <v>0.06671368768232698</v>
      </c>
      <c r="E227" s="23" t="n">
        <v>0.01689320929196145</v>
      </c>
      <c r="F227" s="23" t="n">
        <v>0.03630020611665088</v>
      </c>
      <c r="G227" s="23" t="n">
        <v>0.08367221881789315</v>
      </c>
      <c r="H227" s="23" t="n">
        <v>0.1428263049412289</v>
      </c>
      <c r="I227" s="23" t="n">
        <v>0.2047448610105287</v>
      </c>
    </row>
    <row r="228">
      <c r="A228" s="33" t="n">
        <v>45723</v>
      </c>
      <c r="B228" s="34" t="n">
        <v>11</v>
      </c>
      <c r="C228" s="23" t="n">
        <v>0.09090909090909093</v>
      </c>
      <c r="D228" s="23" t="n">
        <v>0.06618053425933212</v>
      </c>
      <c r="E228" s="23" t="n">
        <v>0.01670667984747917</v>
      </c>
      <c r="F228" s="23" t="n">
        <v>0.03629430871345855</v>
      </c>
      <c r="G228" s="23" t="n">
        <v>0.08411241350091794</v>
      </c>
      <c r="H228" s="23" t="n">
        <v>0.143994492303347</v>
      </c>
      <c r="I228" s="23" t="n">
        <v>0.2017794096878972</v>
      </c>
    </row>
    <row r="229">
      <c r="A229" s="33" t="n">
        <v>45726</v>
      </c>
      <c r="B229" s="34" t="n">
        <v>11</v>
      </c>
      <c r="C229" s="23" t="n">
        <v>0.09090909090909091</v>
      </c>
      <c r="D229" s="23" t="n">
        <v>0.06606301020491134</v>
      </c>
      <c r="E229" s="23" t="n">
        <v>0.01658948438470661</v>
      </c>
      <c r="F229" s="23" t="n">
        <v>0.03658863726209974</v>
      </c>
      <c r="G229" s="23" t="n">
        <v>0.08589823233749365</v>
      </c>
      <c r="H229" s="23" t="n">
        <v>0.1424083695713559</v>
      </c>
      <c r="I229" s="23" t="n">
        <v>0.2030835262890382</v>
      </c>
    </row>
    <row r="230">
      <c r="A230" s="33" t="n">
        <v>45727</v>
      </c>
      <c r="B230" s="34" t="n">
        <v>11</v>
      </c>
      <c r="C230" s="23" t="n">
        <v>0.0909090909090909</v>
      </c>
      <c r="D230" s="23" t="n">
        <v>0.06600048608847452</v>
      </c>
      <c r="E230" s="23" t="n">
        <v>0.01656481070298237</v>
      </c>
      <c r="F230" s="23" t="n">
        <v>0.03677387976062087</v>
      </c>
      <c r="G230" s="23" t="n">
        <v>0.08486822164421606</v>
      </c>
      <c r="H230" s="23" t="n">
        <v>0.1431164400459585</v>
      </c>
      <c r="I230" s="23" t="n">
        <v>0.2029999929511444</v>
      </c>
    </row>
    <row r="231">
      <c r="A231" s="33" t="n">
        <v>45728</v>
      </c>
      <c r="B231" s="34" t="n">
        <v>11</v>
      </c>
      <c r="C231" s="23" t="n">
        <v>0.09090909090909091</v>
      </c>
      <c r="D231" s="23" t="n">
        <v>0.06528919882302386</v>
      </c>
      <c r="E231" s="23" t="n">
        <v>0.01650421149313986</v>
      </c>
      <c r="F231" s="23" t="n">
        <v>0.03668947447116035</v>
      </c>
      <c r="G231" s="23" t="n">
        <v>0.0878325940376934</v>
      </c>
      <c r="H231" s="23" t="n">
        <v>0.143717648399063</v>
      </c>
      <c r="I231" s="23" t="n">
        <v>0.1975806164515233</v>
      </c>
    </row>
    <row r="232">
      <c r="A232" s="33" t="n">
        <v>45729</v>
      </c>
      <c r="B232" s="34" t="n">
        <v>11</v>
      </c>
      <c r="C232" s="23" t="n">
        <v>0.09090909090909091</v>
      </c>
      <c r="D232" s="23" t="n">
        <v>0.06555121715353926</v>
      </c>
      <c r="E232" s="23" t="n">
        <v>0.01632734616400134</v>
      </c>
      <c r="F232" s="23" t="n">
        <v>0.03644394967637887</v>
      </c>
      <c r="G232" s="23" t="n">
        <v>0.08688888413150364</v>
      </c>
      <c r="H232" s="23" t="n">
        <v>0.1443343109760014</v>
      </c>
      <c r="I232" s="23" t="n">
        <v>0.1999529018860654</v>
      </c>
    </row>
    <row r="233">
      <c r="A233" s="33" t="n">
        <v>45730</v>
      </c>
      <c r="B233" s="34" t="n">
        <v>11</v>
      </c>
      <c r="C233" s="23" t="n">
        <v>0.09090909090909091</v>
      </c>
      <c r="D233" s="23" t="n">
        <v>0.06323616127426562</v>
      </c>
      <c r="E233" s="23" t="n">
        <v>0.01702622066670492</v>
      </c>
      <c r="F233" s="23" t="n">
        <v>0.03735871249067646</v>
      </c>
      <c r="G233" s="23" t="n">
        <v>0.08807160479660336</v>
      </c>
      <c r="H233" s="23" t="n">
        <v>0.1522068104882667</v>
      </c>
      <c r="I233" s="23" t="n">
        <v>0.1809842790751047</v>
      </c>
    </row>
    <row r="234">
      <c r="A234" s="33" t="n">
        <v>45733</v>
      </c>
      <c r="B234" s="34" t="n">
        <v>11</v>
      </c>
      <c r="C234" s="23" t="n">
        <v>0.0909090909090909</v>
      </c>
      <c r="D234" s="23" t="n">
        <v>0.06215530362626347</v>
      </c>
      <c r="E234" s="23" t="n">
        <v>0.01774630779030323</v>
      </c>
      <c r="F234" s="23" t="n">
        <v>0.03841823810864058</v>
      </c>
      <c r="G234" s="23" t="n">
        <v>0.09053875894351697</v>
      </c>
      <c r="H234" s="23" t="n">
        <v>0.1410964788836713</v>
      </c>
      <c r="I234" s="23" t="n">
        <v>0.1914838461196617</v>
      </c>
    </row>
    <row r="235">
      <c r="A235" s="33" t="n">
        <v>45734</v>
      </c>
      <c r="B235" s="34" t="n">
        <v>11</v>
      </c>
      <c r="C235" s="23" t="n">
        <v>0.09090909090909091</v>
      </c>
      <c r="D235" s="23" t="n">
        <v>0.06173524307159067</v>
      </c>
      <c r="E235" s="23" t="n">
        <v>0.0179304466161703</v>
      </c>
      <c r="F235" s="23" t="n">
        <v>0.03867233940735312</v>
      </c>
      <c r="G235" s="23" t="n">
        <v>0.09068409364508483</v>
      </c>
      <c r="H235" s="23" t="n">
        <v>0.1404975362459716</v>
      </c>
      <c r="I235" s="23" t="n">
        <v>0.1902287290917384</v>
      </c>
    </row>
    <row r="236">
      <c r="A236" s="33" t="n">
        <v>45735</v>
      </c>
      <c r="B236" s="34" t="n">
        <v>11</v>
      </c>
      <c r="C236" s="23" t="n">
        <v>0.09090909090909091</v>
      </c>
      <c r="D236" s="23" t="n">
        <v>0.06279684892079714</v>
      </c>
      <c r="E236" s="23" t="n">
        <v>0.01807251691935423</v>
      </c>
      <c r="F236" s="23" t="n">
        <v>0.03899580324397898</v>
      </c>
      <c r="G236" s="23" t="n">
        <v>0.09176906499300541</v>
      </c>
      <c r="H236" s="23" t="n">
        <v>0.1420393965745397</v>
      </c>
      <c r="I236" s="23" t="n">
        <v>0.1915989262353964</v>
      </c>
    </row>
    <row r="237">
      <c r="A237" s="33" t="n">
        <v>45736</v>
      </c>
      <c r="B237" s="34" t="n">
        <v>11</v>
      </c>
      <c r="C237" s="23" t="n">
        <v>0.09090909090909091</v>
      </c>
      <c r="D237" s="23" t="n">
        <v>0.06300563631006348</v>
      </c>
      <c r="E237" s="23" t="n">
        <v>0.0183627588158536</v>
      </c>
      <c r="F237" s="23" t="n">
        <v>0.04014495259955665</v>
      </c>
      <c r="G237" s="23" t="n">
        <v>0.09508387441633782</v>
      </c>
      <c r="H237" s="23" t="n">
        <v>0.1300564403288946</v>
      </c>
      <c r="I237" s="23" t="n">
        <v>0.1991761912996997</v>
      </c>
    </row>
    <row r="238">
      <c r="A238" s="33" t="n">
        <v>45737</v>
      </c>
      <c r="B238" s="34" t="n">
        <v>11</v>
      </c>
      <c r="C238" s="23" t="n">
        <v>0.0909090909090909</v>
      </c>
      <c r="D238" s="23" t="n">
        <v>0.06271786716923657</v>
      </c>
      <c r="E238" s="23" t="n">
        <v>0.01827309714720788</v>
      </c>
      <c r="F238" s="23" t="n">
        <v>0.04022619302545068</v>
      </c>
      <c r="G238" s="23" t="n">
        <v>0.095870311768858</v>
      </c>
      <c r="H238" s="23" t="n">
        <v>0.130207713721478</v>
      </c>
      <c r="I238" s="23" t="n">
        <v>0.2001395861587634</v>
      </c>
    </row>
    <row r="239">
      <c r="A239" s="33" t="n">
        <v>45740</v>
      </c>
      <c r="B239" s="34" t="n">
        <v>11</v>
      </c>
      <c r="C239" s="23" t="n">
        <v>0.0909090909090909</v>
      </c>
      <c r="D239" s="23" t="n">
        <v>0.06367758074085035</v>
      </c>
      <c r="E239" s="23" t="n">
        <v>0.018295457266697</v>
      </c>
      <c r="F239" s="23" t="n">
        <v>0.03713371169488414</v>
      </c>
      <c r="G239" s="23" t="n">
        <v>0.09597930984937379</v>
      </c>
      <c r="H239" s="23" t="n">
        <v>0.131827869441318</v>
      </c>
      <c r="I239" s="23" t="n">
        <v>0.1989670889309291</v>
      </c>
    </row>
    <row r="240">
      <c r="A240" s="33" t="n">
        <v>45741</v>
      </c>
      <c r="B240" s="34" t="n">
        <v>12</v>
      </c>
      <c r="C240" s="23" t="n">
        <v>0.08333333333333333</v>
      </c>
      <c r="D240" s="23" t="n">
        <v>0.05747608532818557</v>
      </c>
      <c r="E240" s="23" t="n">
        <v>0.01717276548722122</v>
      </c>
      <c r="F240" s="23" t="n">
        <v>0.0360105425847252</v>
      </c>
      <c r="G240" s="23" t="n">
        <v>0.07815101580641066</v>
      </c>
      <c r="H240" s="23" t="n">
        <v>0.1109435314672262</v>
      </c>
      <c r="I240" s="23" t="n">
        <v>0.1891841443109614</v>
      </c>
    </row>
    <row r="241">
      <c r="A241" s="33" t="n">
        <v>45742</v>
      </c>
      <c r="B241" s="34" t="n">
        <v>12</v>
      </c>
      <c r="C241" s="23" t="n">
        <v>0.08333333333333333</v>
      </c>
      <c r="D241" s="23" t="n">
        <v>0.0554737922448383</v>
      </c>
      <c r="E241" s="23" t="n">
        <v>0.01655722428103938</v>
      </c>
      <c r="F241" s="23" t="n">
        <v>0.03488069696378649</v>
      </c>
      <c r="G241" s="23" t="n">
        <v>0.08691097963576996</v>
      </c>
      <c r="H241" s="23" t="n">
        <v>0.107974123919121</v>
      </c>
      <c r="I241" s="23" t="n">
        <v>0.1830396809916997</v>
      </c>
    </row>
    <row r="242">
      <c r="A242" s="33" t="n">
        <v>45743</v>
      </c>
      <c r="B242" s="34" t="n">
        <v>12</v>
      </c>
      <c r="C242" s="23" t="n">
        <v>0.08333333333333333</v>
      </c>
      <c r="D242" s="23" t="n">
        <v>0.05531056105166376</v>
      </c>
      <c r="E242" s="23" t="n">
        <v>0.01663836034428164</v>
      </c>
      <c r="F242" s="23" t="n">
        <v>0.03477359739773742</v>
      </c>
      <c r="G242" s="23" t="n">
        <v>0.08702395002734678</v>
      </c>
      <c r="H242" s="23" t="n">
        <v>0.1111107113042978</v>
      </c>
      <c r="I242" s="23" t="n">
        <v>0.1816042488269668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zoomScaleNormal="100" workbookViewId="0">
      <selection activeCell="F6" sqref="F6"/>
    </sheetView>
  </sheetViews>
  <sheetFormatPr baseColWidth="8" defaultColWidth="10.875" defaultRowHeight="18.75"/>
  <cols>
    <col width="20.625" customWidth="1" style="2" min="1" max="1"/>
    <col width="24.625" customWidth="1" style="2" min="2" max="5"/>
    <col width="24.625" customWidth="1" style="17" min="6" max="6"/>
    <col width="24.625" customWidth="1" style="2" min="7" max="7"/>
    <col width="24.625" customWidth="1" style="17" min="8" max="8"/>
    <col width="24.625" customWidth="1" style="2" min="9" max="10"/>
    <col width="14.375" customWidth="1" style="2" min="11" max="11"/>
    <col width="16.875" customWidth="1" style="2" min="12" max="12"/>
    <col width="16.5" customWidth="1" style="2" min="13" max="13"/>
    <col width="21" customWidth="1" style="2" min="14" max="14"/>
    <col width="22.375" customWidth="1" style="2" min="15" max="15"/>
    <col width="10.875" customWidth="1" style="2" min="16" max="16384"/>
  </cols>
  <sheetData>
    <row r="1" ht="20.1" customHeight="1">
      <c r="A1" s="21" t="inlineStr">
        <is>
          <t>名称（标题）</t>
        </is>
      </c>
      <c r="B1" s="21" t="inlineStr">
        <is>
          <t>开始日期</t>
        </is>
      </c>
      <c r="C1" s="21" t="inlineStr">
        <is>
          <t>结束日期</t>
        </is>
      </c>
      <c r="D1" s="21" t="inlineStr">
        <is>
          <t>收益率</t>
        </is>
      </c>
      <c r="E1" s="21" t="inlineStr">
        <is>
          <t>年化收益率</t>
        </is>
      </c>
      <c r="F1" s="26" t="inlineStr">
        <is>
          <t>超额收益率（几何）</t>
        </is>
      </c>
      <c r="G1" s="21" t="inlineStr">
        <is>
          <t>绝对收益最大回撤</t>
        </is>
      </c>
      <c r="H1" s="26" t="inlineStr">
        <is>
          <t>超额最大回撤（几何）</t>
        </is>
      </c>
      <c r="I1" s="21" t="inlineStr">
        <is>
          <t>夏普比率</t>
        </is>
      </c>
      <c r="J1" s="21" t="inlineStr">
        <is>
          <t>超额夏普比率</t>
        </is>
      </c>
    </row>
    <row r="2" ht="20.1" customHeight="1">
      <c r="A2" s="16" t="n">
        <v/>
      </c>
      <c r="B2" s="17" t="n">
        <v/>
      </c>
      <c r="C2" s="17" t="n">
        <v/>
      </c>
      <c r="D2" s="17" t="n">
        <v/>
      </c>
      <c r="E2" s="17" t="n">
        <v/>
      </c>
      <c r="F2" s="17" t="n">
        <v/>
      </c>
      <c r="G2" s="17" t="n">
        <v/>
      </c>
      <c r="H2" s="17" t="n">
        <v/>
      </c>
      <c r="I2" s="17" t="n">
        <v/>
      </c>
      <c r="J2" s="17" t="n">
        <v/>
      </c>
      <c r="K2" s="32" t="n"/>
      <c r="L2" s="32" t="n"/>
      <c r="M2" s="32" t="n"/>
      <c r="N2" s="17" t="n"/>
      <c r="O2" s="17" t="n"/>
      <c r="P2" s="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2022-03-29T00:08:00Z</dcterms:created>
  <dcterms:modified xmlns:dcterms="http://purl.org/dc/terms/" xmlns:xsi="http://www.w3.org/2001/XMLSchema-instance" xsi:type="dcterms:W3CDTF">2024-04-17T09:17:47Z</dcterms:modified>
  <cp:lastModifiedBy>lin dongzhao</cp:lastModifiedBy>
</cp:coreProperties>
</file>