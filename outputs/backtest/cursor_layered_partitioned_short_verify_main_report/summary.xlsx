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760" yWindow="3690" windowWidth="28800" windowHeight="15435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年度指标" sheetId="2" state="visible" r:id="rId2"/>
    <sheet xmlns:r="http://schemas.openxmlformats.org/officeDocument/2006/relationships" name="月度收益" sheetId="3" state="visible" r:id="rId3"/>
    <sheet xmlns:r="http://schemas.openxmlformats.org/officeDocument/2006/relationships" name="月度超额收益（几何）" sheetId="4" state="visible" r:id="rId4"/>
    <sheet xmlns:r="http://schemas.openxmlformats.org/officeDocument/2006/relationships" name="个股权重" sheetId="5" state="visible" r:id="rId5"/>
    <sheet xmlns:r="http://schemas.openxmlformats.org/officeDocument/2006/relationships" name="压力测试" sheetId="6" state="visible" r:id="rId6"/>
  </sheets>
  <definedNames>
    <definedName name="daily__date_count">COUNTA(个股权重!$A:$A)-1</definedName>
    <definedName name="daily__dates">OFFSET(个股权重!$A$2,0,0,daily__date_count)</definedName>
    <definedName name="daily__weight_25">OFFSET(个股权重!$F$2,0,0,daily__date_count)</definedName>
    <definedName name="daily__weight_50">OFFSET(个股权重!$G$2,0,0,daily__date_count)</definedName>
    <definedName name="daily__weight_75">OFFSET(个股权重!$H$2,0,0,daily__date_count)</definedName>
    <definedName name="daily__weight_max">OFFSET(个股权重!$I$2,0,0,daily__date_count)</definedName>
    <definedName name="daily__weight_mean">OFFSET(个股权重!$C$2,0,0,daily__date_count)</definedName>
  </definedNames>
  <calcPr calcId="144525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.000_ "/>
    <numFmt numFmtId="166" formatCode="0_ "/>
    <numFmt numFmtId="167" formatCode="0_);[Red]\(0\)"/>
    <numFmt numFmtId="168" formatCode="yyyy/m/d;@"/>
    <numFmt numFmtId="169" formatCode="yyyy-mm-dd h:mm:ss"/>
  </numFmts>
  <fonts count="7">
    <font>
      <name val="宋体"/>
      <charset val="134"/>
      <color theme="1"/>
      <sz val="11"/>
      <scheme val="minor"/>
    </font>
    <font>
      <name val="Arial"/>
      <family val="2"/>
      <color rgb="FF000000"/>
      <sz val="12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  <font>
      <name val="等线"/>
      <charset val="134"/>
      <family val="3"/>
      <color theme="1"/>
      <sz val="14"/>
    </font>
    <font>
      <name val="宋体"/>
      <charset val="134"/>
      <family val="3"/>
      <color theme="1"/>
      <sz val="14"/>
      <scheme val="minor"/>
    </font>
    <font>
      <name val="等线"/>
      <charset val="134"/>
      <family val="3"/>
      <color theme="0"/>
      <sz val="14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6" borderId="7" applyAlignment="1" applyProtection="1">
      <alignment horizontal="center" vertical="center" wrapText="1" shrinkToFit="1"/>
      <protection locked="0" hidden="0"/>
    </xf>
    <xf numFmtId="0" fontId="1" fillId="6" borderId="7" applyAlignment="1" applyProtection="1">
      <alignment horizontal="center" vertical="center"/>
      <protection locked="0" hidden="0"/>
    </xf>
  </cellStyleXfs>
  <cellXfs count="35">
    <xf numFmtId="0" fontId="0" fillId="0" borderId="0" pivotButton="0" quotePrefix="0" xfId="0"/>
    <xf numFmtId="0" fontId="4" fillId="3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3" borderId="4" applyAlignment="1" pivotButton="0" quotePrefix="0" xfId="0">
      <alignment vertical="center"/>
    </xf>
    <xf numFmtId="0" fontId="4" fillId="5" borderId="4" applyAlignment="1" pivotButton="0" quotePrefix="0" xfId="0">
      <alignment vertical="center"/>
    </xf>
    <xf numFmtId="10" fontId="4" fillId="5" borderId="4" applyAlignment="1" pivotButton="0" quotePrefix="0" xfId="0">
      <alignment vertical="center"/>
    </xf>
    <xf numFmtId="164" fontId="4" fillId="5" borderId="4" applyAlignment="1" pivotButton="0" quotePrefix="0" xfId="0">
      <alignment vertical="center"/>
    </xf>
    <xf numFmtId="10" fontId="4" fillId="3" borderId="4" applyAlignment="1" pivotButton="0" quotePrefix="0" xfId="0">
      <alignment vertical="center"/>
    </xf>
    <xf numFmtId="164" fontId="4" fillId="3" borderId="4" applyAlignment="1" pivotButton="0" quotePrefix="0" xfId="0">
      <alignment vertical="center"/>
    </xf>
    <xf numFmtId="165" fontId="4" fillId="3" borderId="4" applyAlignment="1" pivotButton="0" quotePrefix="0" xfId="0">
      <alignment vertical="center"/>
    </xf>
    <xf numFmtId="0" fontId="4" fillId="3" borderId="4" applyAlignment="1" pivotButton="0" quotePrefix="0" xfId="0">
      <alignment horizontal="right" vertical="center"/>
    </xf>
    <xf numFmtId="10" fontId="4" fillId="3" borderId="6" applyAlignment="1" pivotButton="0" quotePrefix="0" xfId="0">
      <alignment vertical="center"/>
    </xf>
    <xf numFmtId="0" fontId="6" fillId="2" borderId="2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0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49" fontId="6" fillId="2" borderId="0" applyAlignment="1" pivotButton="0" quotePrefix="0" xfId="0">
      <alignment vertical="center"/>
    </xf>
    <xf numFmtId="164" fontId="4" fillId="5" borderId="4" applyAlignment="1" pivotButton="0" quotePrefix="0" xfId="0">
      <alignment vertical="center"/>
    </xf>
    <xf numFmtId="164" fontId="4" fillId="3" borderId="4" applyAlignment="1" pivotButton="0" quotePrefix="0" xfId="0">
      <alignment vertical="center"/>
    </xf>
    <xf numFmtId="165" fontId="4" fillId="3" borderId="4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</cellXfs>
  <cellStyles count="3">
    <cellStyle name="常规" xfId="0" builtinId="0"/>
    <cellStyle name="-3522966690757464237" xfId="1"/>
    <cellStyle name="-4237263631367923067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 defTabSz="914400">
              <a:defRPr lang="zh-CN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个股权重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 defTabSz="914400">
            <a:defRPr lang="zh-CN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个股权重!$C$1</f>
              <strCache>
                <ptCount val="1"/>
                <pt idx="0">
                  <v>mean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[0]!daily__weight_mean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strRef>
              <f>个股权重!$H$1</f>
              <strCache>
                <ptCount val="1"/>
                <pt idx="0">
                  <v>75%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[0]!daily__weight_75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ser>
          <idx val="2"/>
          <order val="2"/>
          <tx>
            <strRef>
              <f>个股权重!$I$1</f>
              <strCache>
                <ptCount val="1"/>
                <pt idx="0">
                  <v>max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[0]!daily__weight_max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1121013"/>
        <axId val="195469628"/>
      </lineChart>
      <dateAx>
        <axId val="10112101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0" vertOverflow="ellipsis" wrap="square" anchor="ctr" anchorCtr="1" forceAA="0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95469628"/>
        <crosses val="autoZero"/>
        <lblOffset val="100"/>
        <baseTimeUnit val="days"/>
      </dateAx>
      <valAx>
        <axId val="1954696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1121013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49872029250457"/>
          <y val="0.926296958855098"/>
          <w val="0.532650822669104"/>
          <h val="0.0593917710196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12700</rowOff>
    </from>
    <to>
      <col>17</col>
      <colOff>535940</colOff>
      <row>22</row>
      <rowOff>213995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tabSelected="1" workbookViewId="0">
      <selection activeCell="A4" sqref="A4"/>
    </sheetView>
  </sheetViews>
  <sheetFormatPr baseColWidth="8" defaultColWidth="8.875" defaultRowHeight="20.1" customHeight="1"/>
  <cols>
    <col width="34" customWidth="1" style="2" min="1" max="1"/>
    <col width="46.5" customWidth="1" style="2" min="2" max="2"/>
    <col width="8.875" customWidth="1" style="2" min="3" max="16384"/>
  </cols>
  <sheetData>
    <row r="1" ht="20.1" customHeight="1">
      <c r="A1" s="12" t="inlineStr">
        <is>
          <t>策略名称</t>
        </is>
      </c>
      <c r="B1" s="1" t="inlineStr">
        <is>
          <t>cursor_rate_layered_strategy</t>
        </is>
      </c>
    </row>
    <row r="2" ht="20.1" customHeight="1">
      <c r="A2" s="13" t="inlineStr">
        <is>
          <t>开始日期</t>
        </is>
      </c>
      <c r="B2" s="3" t="inlineStr">
        <is>
          <t>2026-03-03</t>
        </is>
      </c>
    </row>
    <row r="3" ht="20.1" customHeight="1">
      <c r="A3" s="13" t="inlineStr">
        <is>
          <t>结束日期</t>
        </is>
      </c>
      <c r="B3" s="3" t="inlineStr">
        <is>
          <t>2026-03-27</t>
        </is>
      </c>
    </row>
    <row r="4" ht="20.1" customHeight="1">
      <c r="A4" s="13" t="inlineStr">
        <is>
          <t>代码文件</t>
        </is>
      </c>
      <c r="B4" s="3" t="inlineStr">
        <is>
          <t>strategies/cursor_rate_layered_strategy.py</t>
        </is>
      </c>
    </row>
    <row r="5" ht="20.1" customHeight="1">
      <c r="A5" s="13" t="inlineStr">
        <is>
          <t>初始资金</t>
        </is>
      </c>
      <c r="B5" s="3" t="inlineStr">
        <is>
          <t>STOCK:1000000.0</t>
        </is>
      </c>
    </row>
    <row r="6" ht="20.1" customHeight="1">
      <c r="A6" s="13" t="inlineStr">
        <is>
          <t>业绩基准</t>
        </is>
      </c>
      <c r="B6" s="3" t="n">
        <v/>
      </c>
    </row>
    <row r="7" ht="20.1" customHeight="1">
      <c r="A7" s="13" t="inlineStr">
        <is>
          <t>基准名称</t>
        </is>
      </c>
      <c r="B7" s="3" t="n">
        <v/>
      </c>
    </row>
    <row r="8" ht="20.1" customHeight="1">
      <c r="A8" s="14" t="inlineStr">
        <is>
          <t>总权益</t>
        </is>
      </c>
      <c r="B8" s="4" t="n">
        <v>994187.584</v>
      </c>
    </row>
    <row r="9" ht="20.1" customHeight="1">
      <c r="A9" s="14" t="inlineStr">
        <is>
          <t>剩余资金</t>
        </is>
      </c>
      <c r="B9" s="4" t="n">
        <v>714087.584</v>
      </c>
    </row>
    <row r="10" ht="20.1" customHeight="1">
      <c r="A10" s="14" t="inlineStr">
        <is>
          <t>收益率</t>
        </is>
      </c>
      <c r="B10" s="5" t="n">
        <v>-0.005812415999999931</v>
      </c>
    </row>
    <row r="11" ht="20.1" customHeight="1">
      <c r="A11" s="14" t="inlineStr">
        <is>
          <t>年化收益率</t>
        </is>
      </c>
      <c r="B11" s="5" t="n">
        <v>-0.07440259395764626</v>
      </c>
    </row>
    <row r="12" ht="20.1" customHeight="1">
      <c r="A12" s="14" t="inlineStr">
        <is>
          <t>单位净值</t>
        </is>
      </c>
      <c r="B12" s="27" t="n">
        <v>0.9941875840000001</v>
      </c>
    </row>
    <row r="13" ht="20.1" customHeight="1">
      <c r="A13" s="14" t="inlineStr">
        <is>
          <t>份额</t>
        </is>
      </c>
      <c r="B13" s="4" t="n">
        <v>1000000</v>
      </c>
    </row>
    <row r="14" ht="20.1" customHeight="1">
      <c r="A14" s="14" t="inlineStr">
        <is>
          <t>换手率</t>
        </is>
      </c>
      <c r="B14" s="5" t="n">
        <v>1.398977808262315</v>
      </c>
    </row>
    <row r="15" ht="20.1" customHeight="1">
      <c r="A15" s="14" t="inlineStr">
        <is>
          <t>日均换手率</t>
        </is>
      </c>
      <c r="B15" s="5" t="n">
        <v>0.1092051947324299</v>
      </c>
    </row>
    <row r="16" ht="20.1" customHeight="1">
      <c r="A16" s="13" t="inlineStr">
        <is>
          <t>波动率</t>
        </is>
      </c>
      <c r="B16" s="7" t="n">
        <v>0.04572388165241438</v>
      </c>
    </row>
    <row r="17" ht="20.1" customHeight="1">
      <c r="A17" s="13" t="inlineStr">
        <is>
          <t>夏普比率</t>
        </is>
      </c>
      <c r="B17" s="28" t="n">
        <v>-1.912010358005419</v>
      </c>
    </row>
    <row r="18" ht="20.1" customHeight="1">
      <c r="A18" s="13" t="inlineStr">
        <is>
          <t>下行风险</t>
        </is>
      </c>
      <c r="B18" s="28" t="n">
        <v>0.03963977184560288</v>
      </c>
    </row>
    <row r="19" ht="20.1" customHeight="1">
      <c r="A19" s="13" t="inlineStr">
        <is>
          <t>索提诺比率</t>
        </is>
      </c>
      <c r="B19" s="28" t="n">
        <v>-2.205475240073258</v>
      </c>
    </row>
    <row r="20" ht="20.1" customHeight="1">
      <c r="A20" s="13" t="inlineStr">
        <is>
          <t>最大回撤</t>
        </is>
      </c>
      <c r="B20" s="7" t="n">
        <v>0.01363411099721718</v>
      </c>
    </row>
    <row r="21" ht="20.1" customHeight="1">
      <c r="A21" s="13" t="inlineStr">
        <is>
          <t>风险价值</t>
        </is>
      </c>
      <c r="B21" s="29" t="n">
        <v>0.004946214224266246</v>
      </c>
    </row>
    <row r="22" ht="20.1" customHeight="1">
      <c r="A22" s="13" t="inlineStr">
        <is>
          <t>胜率</t>
        </is>
      </c>
      <c r="B22" s="7" t="n">
        <v>0.4736842105263158</v>
      </c>
    </row>
    <row r="23" ht="20.1" customHeight="1">
      <c r="A23" s="13" t="inlineStr">
        <is>
          <t>盈亏比</t>
        </is>
      </c>
      <c r="B23" s="7" t="n">
        <v>0.775909018568616</v>
      </c>
    </row>
    <row r="24" ht="20.1" customHeight="1">
      <c r="A24" s="13" t="inlineStr">
        <is>
          <t>最长回撤开始日期</t>
        </is>
      </c>
      <c r="B24" s="10" t="inlineStr">
        <is>
          <t>2026-03-16</t>
        </is>
      </c>
    </row>
    <row r="25" ht="20.1" customHeight="1">
      <c r="A25" s="13" t="inlineStr">
        <is>
          <t>最长回撤结束日期</t>
        </is>
      </c>
      <c r="B25" s="10" t="inlineStr">
        <is>
          <t>2026-03-27</t>
        </is>
      </c>
    </row>
    <row r="26" ht="20.1" customHeight="1">
      <c r="A26" s="13" t="inlineStr">
        <is>
          <t>最长回撤持续天数</t>
        </is>
      </c>
      <c r="B26" s="3" t="n">
        <v>11</v>
      </c>
    </row>
    <row r="27" ht="20.1" customHeight="1">
      <c r="A27" s="13" t="inlineStr">
        <is>
          <t>超额收益最长回撤开始日期</t>
        </is>
      </c>
      <c r="B27" s="10" t="n">
        <v/>
      </c>
    </row>
    <row r="28" ht="20.1" customHeight="1">
      <c r="A28" s="13" t="inlineStr">
        <is>
          <t>超额收益最长回撤结束日期</t>
        </is>
      </c>
      <c r="B28" s="10" t="n">
        <v/>
      </c>
    </row>
    <row r="29" ht="20.1" customHeight="1">
      <c r="A29" s="13" t="inlineStr">
        <is>
          <t>超额收益最长回撤持续天数</t>
        </is>
      </c>
      <c r="B29" s="3" t="n">
        <v/>
      </c>
    </row>
    <row r="30" ht="20.1" customHeight="1">
      <c r="A30" s="14" t="inlineStr">
        <is>
          <t>超额收益（几何）</t>
        </is>
      </c>
      <c r="B30" s="5" t="n">
        <v/>
      </c>
    </row>
    <row r="31" ht="20.1" customHeight="1">
      <c r="A31" s="14" t="inlineStr">
        <is>
          <t>超额收益（算术）</t>
        </is>
      </c>
      <c r="B31" s="5" t="n">
        <v/>
      </c>
    </row>
    <row r="32" ht="20.1" customHeight="1">
      <c r="A32" s="14" t="inlineStr">
        <is>
          <t>年化超额收益（几何）</t>
        </is>
      </c>
      <c r="B32" s="5" t="n">
        <v/>
      </c>
    </row>
    <row r="33" ht="20.1" customHeight="1">
      <c r="A33" s="14" t="inlineStr">
        <is>
          <t>阿尔法</t>
        </is>
      </c>
      <c r="B33" s="27" t="n">
        <v/>
      </c>
    </row>
    <row r="34" ht="20.1" customHeight="1">
      <c r="A34" s="14" t="inlineStr">
        <is>
          <t>贝塔</t>
        </is>
      </c>
      <c r="B34" s="27" t="n">
        <v/>
      </c>
    </row>
    <row r="35" ht="20.1" customHeight="1">
      <c r="A35" s="14" t="inlineStr">
        <is>
          <t>信息比率</t>
        </is>
      </c>
      <c r="B35" s="27" t="n">
        <v/>
      </c>
    </row>
    <row r="36" ht="20.1" customHeight="1">
      <c r="A36" s="14" t="inlineStr">
        <is>
          <t>超额收益夏普率</t>
        </is>
      </c>
      <c r="B36" s="27" t="n">
        <v/>
      </c>
    </row>
    <row r="37" ht="20.1" customHeight="1">
      <c r="A37" s="14" t="inlineStr">
        <is>
          <t>超额收益率年化波动率</t>
        </is>
      </c>
      <c r="B37" s="5" t="n">
        <v/>
      </c>
    </row>
    <row r="38" ht="20.1" customHeight="1">
      <c r="A38" s="14" t="inlineStr">
        <is>
          <t>超额收益最大回撤（几何）</t>
        </is>
      </c>
      <c r="B38" s="5" t="n">
        <v/>
      </c>
    </row>
    <row r="39" ht="20.1" customHeight="1">
      <c r="A39" s="14" t="inlineStr">
        <is>
          <t>超额收益月度胜率</t>
        </is>
      </c>
      <c r="B39" s="5" t="n">
        <v>0</v>
      </c>
    </row>
    <row r="40" ht="20.1" customHeight="1">
      <c r="A40" s="14" t="inlineStr">
        <is>
          <t>跟踪误差</t>
        </is>
      </c>
      <c r="B40" s="5" t="n">
        <v/>
      </c>
    </row>
    <row r="41" ht="20.1" customHeight="1">
      <c r="A41" s="13" t="inlineStr">
        <is>
          <t>周度阿尔法</t>
        </is>
      </c>
      <c r="B41" s="28" t="n">
        <v/>
      </c>
    </row>
    <row r="42" ht="20.1" customHeight="1">
      <c r="A42" s="13" t="inlineStr">
        <is>
          <t>周度贝塔</t>
        </is>
      </c>
      <c r="B42" s="28" t="n">
        <v/>
      </c>
    </row>
    <row r="43" ht="20.1" customHeight="1">
      <c r="A43" s="13" t="inlineStr">
        <is>
          <t>周度夏普率</t>
        </is>
      </c>
      <c r="B43" s="28" t="n">
        <v>-3.320622060931796</v>
      </c>
    </row>
    <row r="44" ht="20.1" customHeight="1">
      <c r="A44" s="13" t="inlineStr">
        <is>
          <t>周度索提诺</t>
        </is>
      </c>
      <c r="B44" s="28" t="n">
        <v>-4.155130226542039</v>
      </c>
    </row>
    <row r="45" ht="20.1" customHeight="1">
      <c r="A45" s="13" t="inlineStr">
        <is>
          <t>周度信息比率</t>
        </is>
      </c>
      <c r="B45" s="28" t="n">
        <v/>
      </c>
    </row>
    <row r="46" ht="20.1" customHeight="1">
      <c r="A46" s="13" t="inlineStr">
        <is>
          <t>周度跟踪误差</t>
        </is>
      </c>
      <c r="B46" s="7" t="n">
        <v/>
      </c>
    </row>
    <row r="47" ht="20.1" customHeight="1">
      <c r="A47" s="13" t="inlineStr">
        <is>
          <t>周度最大回撤</t>
        </is>
      </c>
      <c r="B47" s="7" t="n">
        <v>0.008014208457224999</v>
      </c>
    </row>
    <row r="48" ht="20.1" customHeight="1">
      <c r="A48" s="13" t="inlineStr">
        <is>
          <t>周度累计回撤深度</t>
        </is>
      </c>
      <c r="B48" s="28" t="n">
        <v>0.3652147769479183</v>
      </c>
    </row>
    <row r="49" ht="20.1" customHeight="1">
      <c r="A49" s="13" t="inlineStr">
        <is>
          <t>周度累计回撤夏普率</t>
        </is>
      </c>
      <c r="B49" s="28" t="n">
        <v>-0.01824431130236186</v>
      </c>
    </row>
    <row r="50" ht="20.1" customHeight="1">
      <c r="A50" s="13" t="inlineStr">
        <is>
          <t>周度超额累计回撤深度</t>
        </is>
      </c>
      <c r="B50" s="28" t="n">
        <v/>
      </c>
    </row>
    <row r="51" ht="20.1" customHeight="1">
      <c r="A51" s="13" t="inlineStr">
        <is>
          <t>周度超额累计回撤夏普率</t>
        </is>
      </c>
      <c r="B51" s="28" t="n">
        <v/>
      </c>
    </row>
    <row r="52" ht="20.1" customHeight="1">
      <c r="A52" s="15" t="inlineStr">
        <is>
          <t>周度胜率</t>
        </is>
      </c>
      <c r="B52" s="11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topLeftCell="J1" zoomScaleNormal="100" workbookViewId="0">
      <selection activeCell="R7" sqref="R7"/>
    </sheetView>
  </sheetViews>
  <sheetFormatPr baseColWidth="8" defaultColWidth="10.875" defaultRowHeight="18.75"/>
  <cols>
    <col width="12.625" customWidth="1" style="2" min="1" max="1"/>
    <col width="24.625" customWidth="1" style="2" min="2" max="18"/>
    <col width="10.875" customWidth="1" style="2" min="19" max="16384"/>
  </cols>
  <sheetData>
    <row r="1" ht="20.1" customHeight="1">
      <c r="A1" s="21" t="inlineStr">
        <is>
          <t>年份</t>
        </is>
      </c>
      <c r="B1" s="21" t="inlineStr">
        <is>
          <t>收益率</t>
        </is>
      </c>
      <c r="C1" s="21" t="inlineStr">
        <is>
          <t>基准收益率</t>
        </is>
      </c>
      <c r="D1" s="21" t="inlineStr">
        <is>
          <t>超额收益率（几何）</t>
        </is>
      </c>
      <c r="E1" s="21" t="inlineStr">
        <is>
          <t>收益最大回撤</t>
        </is>
      </c>
      <c r="F1" s="21" t="inlineStr">
        <is>
          <t>最大回撤持续时间</t>
        </is>
      </c>
      <c r="G1" s="21" t="inlineStr">
        <is>
          <t>超额最大回撤（几何）</t>
        </is>
      </c>
      <c r="H1" s="21" t="inlineStr">
        <is>
          <t>超额最大回撤持续时间</t>
        </is>
      </c>
      <c r="I1" s="21" t="inlineStr">
        <is>
          <t>超额收益年化波动率</t>
        </is>
      </c>
      <c r="J1" s="21" t="inlineStr">
        <is>
          <t>绝对收益年化波动率</t>
        </is>
      </c>
      <c r="K1" s="21" t="inlineStr">
        <is>
          <t>夏普比率</t>
        </is>
      </c>
      <c r="L1" s="21" t="inlineStr">
        <is>
          <t>超额夏普比率</t>
        </is>
      </c>
      <c r="M1" s="21" t="inlineStr">
        <is>
          <t>信息比率</t>
        </is>
      </c>
      <c r="N1" s="21" t="inlineStr">
        <is>
          <t>跟踪误差</t>
        </is>
      </c>
      <c r="O1" s="21" t="inlineStr">
        <is>
          <t>超额收益周胜率</t>
        </is>
      </c>
      <c r="P1" s="21" t="inlineStr">
        <is>
          <t>超额收益月胜率</t>
        </is>
      </c>
      <c r="Q1" s="21" t="inlineStr">
        <is>
          <t>阿尔法</t>
        </is>
      </c>
      <c r="R1" s="21" t="inlineStr">
        <is>
          <t>贝塔</t>
        </is>
      </c>
    </row>
    <row r="2" ht="20.1" customHeight="1">
      <c r="A2" s="16" t="n">
        <v>2026</v>
      </c>
      <c r="B2" s="17" t="n">
        <v>-0.005811999999999963</v>
      </c>
      <c r="C2" s="17" t="n">
        <v>0</v>
      </c>
      <c r="D2" s="17" t="n">
        <v>-0.005811999999999928</v>
      </c>
      <c r="E2" s="17" t="n">
        <v>0.01363481988392961</v>
      </c>
      <c r="F2" s="30" t="n">
        <v>7</v>
      </c>
      <c r="G2" s="17" t="n">
        <v/>
      </c>
      <c r="H2" s="31" t="n">
        <v>24</v>
      </c>
      <c r="I2" s="17" t="n">
        <v/>
      </c>
      <c r="J2" s="17" t="n">
        <v>0.0457246353435881</v>
      </c>
      <c r="K2" s="32" t="n">
        <v>-1.911856786919303</v>
      </c>
      <c r="L2" s="32" t="n">
        <v/>
      </c>
      <c r="M2" s="32" t="n">
        <v/>
      </c>
      <c r="N2" s="17" t="n">
        <v/>
      </c>
      <c r="O2" s="17" t="n">
        <v/>
      </c>
      <c r="P2" s="17" t="n">
        <v/>
      </c>
      <c r="Q2" s="17" t="n">
        <v/>
      </c>
      <c r="R2" s="17" t="n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Normal="100" workbookViewId="0">
      <selection activeCell="C12" sqref="C12"/>
    </sheetView>
  </sheetViews>
  <sheetFormatPr baseColWidth="8" defaultColWidth="10.875" defaultRowHeight="18"/>
  <cols>
    <col width="10.875" customWidth="1" style="22" min="1" max="1"/>
    <col width="16.625" customWidth="1" style="22" min="2" max="14"/>
    <col width="10.875" customWidth="1" style="22" min="15" max="16384"/>
  </cols>
  <sheetData>
    <row r="1" ht="20.1" customHeight="1">
      <c r="A1" s="21" t="n"/>
      <c r="B1" s="21" t="inlineStr">
        <is>
          <t>一月</t>
        </is>
      </c>
      <c r="C1" s="21" t="inlineStr">
        <is>
          <t>二月</t>
        </is>
      </c>
      <c r="D1" s="21" t="inlineStr">
        <is>
          <t>三月</t>
        </is>
      </c>
      <c r="E1" s="21" t="inlineStr">
        <is>
          <t>四月</t>
        </is>
      </c>
      <c r="F1" s="21" t="inlineStr">
        <is>
          <t>五月</t>
        </is>
      </c>
      <c r="G1" s="21" t="inlineStr">
        <is>
          <t>六月</t>
        </is>
      </c>
      <c r="H1" s="21" t="inlineStr">
        <is>
          <t>七月</t>
        </is>
      </c>
      <c r="I1" s="21" t="inlineStr">
        <is>
          <t>八月</t>
        </is>
      </c>
      <c r="J1" s="21" t="inlineStr">
        <is>
          <t>九月</t>
        </is>
      </c>
      <c r="K1" s="21" t="inlineStr">
        <is>
          <t>十月</t>
        </is>
      </c>
      <c r="L1" s="21" t="inlineStr">
        <is>
          <t>十一月</t>
        </is>
      </c>
      <c r="M1" s="21" t="inlineStr">
        <is>
          <t>十二月</t>
        </is>
      </c>
      <c r="N1" s="21" t="inlineStr">
        <is>
          <t>年度加总</t>
        </is>
      </c>
    </row>
    <row r="2" ht="20.1" customHeight="1">
      <c r="A2" s="22" t="n">
        <v>2026</v>
      </c>
      <c r="B2" s="23" t="n">
        <v/>
      </c>
      <c r="C2" s="23" t="n">
        <v/>
      </c>
      <c r="D2" s="23" t="n">
        <v>-0.005811999999999928</v>
      </c>
      <c r="E2" s="23" t="n">
        <v/>
      </c>
      <c r="F2" s="23" t="n">
        <v/>
      </c>
      <c r="G2" s="23" t="n">
        <v/>
      </c>
      <c r="H2" s="23" t="n">
        <v/>
      </c>
      <c r="I2" s="23" t="n">
        <v/>
      </c>
      <c r="J2" s="23" t="n">
        <v/>
      </c>
      <c r="K2" s="23" t="n">
        <v/>
      </c>
      <c r="L2" s="23" t="n">
        <v/>
      </c>
      <c r="M2" s="23" t="n">
        <v/>
      </c>
      <c r="N2" s="23" t="n">
        <v>-0.005811999999999928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D24" sqref="D24"/>
    </sheetView>
  </sheetViews>
  <sheetFormatPr baseColWidth="8" defaultColWidth="10.875" defaultRowHeight="18"/>
  <cols>
    <col width="10.875" customWidth="1" style="22" min="1" max="1"/>
    <col width="16.625" customWidth="1" style="22" min="2" max="14"/>
    <col width="10.875" customWidth="1" style="22" min="15" max="16384"/>
  </cols>
  <sheetData>
    <row r="1" ht="20.1" customHeight="1">
      <c r="A1" s="21" t="n"/>
      <c r="B1" s="21" t="inlineStr">
        <is>
          <t>一月</t>
        </is>
      </c>
      <c r="C1" s="21" t="inlineStr">
        <is>
          <t>二月</t>
        </is>
      </c>
      <c r="D1" s="21" t="inlineStr">
        <is>
          <t>三月</t>
        </is>
      </c>
      <c r="E1" s="21" t="inlineStr">
        <is>
          <t>四月</t>
        </is>
      </c>
      <c r="F1" s="21" t="inlineStr">
        <is>
          <t>五月</t>
        </is>
      </c>
      <c r="G1" s="21" t="inlineStr">
        <is>
          <t>六月</t>
        </is>
      </c>
      <c r="H1" s="21" t="inlineStr">
        <is>
          <t>七月</t>
        </is>
      </c>
      <c r="I1" s="21" t="inlineStr">
        <is>
          <t>八月</t>
        </is>
      </c>
      <c r="J1" s="21" t="inlineStr">
        <is>
          <t>九月</t>
        </is>
      </c>
      <c r="K1" s="21" t="inlineStr">
        <is>
          <t>十月</t>
        </is>
      </c>
      <c r="L1" s="21" t="inlineStr">
        <is>
          <t>十一月</t>
        </is>
      </c>
      <c r="M1" s="21" t="inlineStr">
        <is>
          <t>十二月</t>
        </is>
      </c>
      <c r="N1" s="21" t="inlineStr">
        <is>
          <t>年度加总</t>
        </is>
      </c>
    </row>
    <row r="2" ht="20.1" customHeight="1">
      <c r="A2" s="22" t="n">
        <v/>
      </c>
      <c r="B2" s="23" t="n">
        <v/>
      </c>
      <c r="C2" s="23" t="n">
        <v/>
      </c>
      <c r="D2" s="23" t="n">
        <v/>
      </c>
      <c r="E2" s="23" t="n">
        <v/>
      </c>
      <c r="F2" s="23" t="n">
        <v/>
      </c>
      <c r="G2" s="23" t="n">
        <v/>
      </c>
      <c r="H2" s="23" t="n">
        <v/>
      </c>
      <c r="I2" s="23" t="n">
        <v/>
      </c>
      <c r="J2" s="23" t="n">
        <v/>
      </c>
      <c r="K2" s="23" t="n">
        <v/>
      </c>
      <c r="L2" s="23" t="n">
        <v/>
      </c>
      <c r="M2" s="23" t="n">
        <v/>
      </c>
      <c r="N2" s="23" t="n"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C8" sqref="C8"/>
    </sheetView>
  </sheetViews>
  <sheetFormatPr baseColWidth="8" defaultColWidth="9.25" defaultRowHeight="18"/>
  <cols>
    <col width="14.625" customWidth="1" style="22" min="1" max="2"/>
    <col width="10.625" customWidth="1" style="22" min="3" max="9"/>
    <col width="9.25" customWidth="1" style="22" min="10" max="16384"/>
  </cols>
  <sheetData>
    <row r="1">
      <c r="A1" s="21" t="inlineStr">
        <is>
          <t>日期</t>
        </is>
      </c>
      <c r="B1" s="21" t="inlineStr">
        <is>
          <t>持仓总个数</t>
        </is>
      </c>
      <c r="C1" s="21" t="inlineStr">
        <is>
          <t>mean</t>
        </is>
      </c>
      <c r="D1" s="21" t="inlineStr">
        <is>
          <t>std</t>
        </is>
      </c>
      <c r="E1" s="21" t="inlineStr">
        <is>
          <t>min</t>
        </is>
      </c>
      <c r="F1" s="26" t="inlineStr">
        <is>
          <t>25%</t>
        </is>
      </c>
      <c r="G1" s="26" t="inlineStr">
        <is>
          <t>50%</t>
        </is>
      </c>
      <c r="H1" s="26" t="inlineStr">
        <is>
          <t>75%</t>
        </is>
      </c>
      <c r="I1" s="21" t="inlineStr">
        <is>
          <t>max</t>
        </is>
      </c>
    </row>
    <row r="2">
      <c r="A2" s="33" t="n">
        <v>46084</v>
      </c>
      <c r="B2" s="34" t="n">
        <v>6</v>
      </c>
      <c r="C2" s="23" t="n">
        <v>0.1666666666666667</v>
      </c>
      <c r="D2" s="23" t="n">
        <v>0.08545720418694459</v>
      </c>
      <c r="E2" s="23" t="n">
        <v>0.06572170258354279</v>
      </c>
      <c r="F2" s="23" t="n">
        <v>0.09306110676171248</v>
      </c>
      <c r="G2" s="23" t="n">
        <v>0.1726894392022745</v>
      </c>
      <c r="H2" s="23" t="n">
        <v>0.2411924677572212</v>
      </c>
      <c r="I2" s="23" t="n">
        <v>0.258354279121513</v>
      </c>
    </row>
    <row r="3">
      <c r="A3" s="33" t="n">
        <v>46085</v>
      </c>
      <c r="B3" s="34" t="n">
        <v>8</v>
      </c>
      <c r="C3" s="23" t="n">
        <v>0.125</v>
      </c>
      <c r="D3" s="23" t="n">
        <v>0.07088502904324166</v>
      </c>
      <c r="E3" s="23" t="n">
        <v>0.01864416897148656</v>
      </c>
      <c r="F3" s="23" t="n">
        <v>0.08713214079630698</v>
      </c>
      <c r="G3" s="23" t="n">
        <v>0.1213164335316473</v>
      </c>
      <c r="H3" s="23" t="n">
        <v>0.1597488907017928</v>
      </c>
      <c r="I3" s="23" t="n">
        <v>0.248084843902342</v>
      </c>
    </row>
    <row r="4">
      <c r="A4" s="33" t="n">
        <v>46086</v>
      </c>
      <c r="B4" s="34" t="n">
        <v>10</v>
      </c>
      <c r="C4" s="23" t="n">
        <v>0.09999999999999999</v>
      </c>
      <c r="D4" s="23" t="n">
        <v>0.06404348453003279</v>
      </c>
      <c r="E4" s="23" t="n">
        <v>0.0202494650592349</v>
      </c>
      <c r="F4" s="23" t="n">
        <v>0.0409523250352278</v>
      </c>
      <c r="G4" s="23" t="n">
        <v>0.1092062000939408</v>
      </c>
      <c r="H4" s="23" t="n">
        <v>0.1409666771045353</v>
      </c>
      <c r="I4" s="23" t="n">
        <v>0.2156463650122645</v>
      </c>
    </row>
    <row r="5">
      <c r="A5" s="33" t="n">
        <v>46087</v>
      </c>
      <c r="B5" s="34" t="n">
        <v>10</v>
      </c>
      <c r="C5" s="23" t="n">
        <v>0.1</v>
      </c>
      <c r="D5" s="23" t="n">
        <v>0.06561192466143825</v>
      </c>
      <c r="E5" s="23" t="n">
        <v>0.01852249020257755</v>
      </c>
      <c r="F5" s="23" t="n">
        <v>0.0541295404472694</v>
      </c>
      <c r="G5" s="23" t="n">
        <v>0.1008305874553998</v>
      </c>
      <c r="H5" s="23" t="n">
        <v>0.1271520209011679</v>
      </c>
      <c r="I5" s="23" t="n">
        <v>0.2412213145118836</v>
      </c>
    </row>
    <row r="6">
      <c r="A6" s="33" t="n">
        <v>46090</v>
      </c>
      <c r="B6" s="34" t="n">
        <v>10</v>
      </c>
      <c r="C6" s="23" t="n">
        <v>0.1</v>
      </c>
      <c r="D6" s="23" t="n">
        <v>0.05654326456768811</v>
      </c>
      <c r="E6" s="23" t="n">
        <v>0.02336752235172192</v>
      </c>
      <c r="F6" s="23" t="n">
        <v>0.05191686064205167</v>
      </c>
      <c r="G6" s="23" t="n">
        <v>0.1042737643836518</v>
      </c>
      <c r="H6" s="23" t="n">
        <v>0.1276515681162043</v>
      </c>
      <c r="I6" s="23" t="n">
        <v>0.2096825932109986</v>
      </c>
    </row>
    <row r="7">
      <c r="A7" s="33" t="n">
        <v>46091</v>
      </c>
      <c r="B7" s="34" t="n">
        <v>10</v>
      </c>
      <c r="C7" s="23" t="n">
        <v>0.1</v>
      </c>
      <c r="D7" s="23" t="n">
        <v>0.05314788800004962</v>
      </c>
      <c r="E7" s="23" t="n">
        <v>0.02142359889513515</v>
      </c>
      <c r="F7" s="23" t="n">
        <v>0.06087984969047316</v>
      </c>
      <c r="G7" s="23" t="n">
        <v>0.1000516501860155</v>
      </c>
      <c r="H7" s="23" t="n">
        <v>0.1354357703737527</v>
      </c>
      <c r="I7" s="23" t="n">
        <v>0.1945265773891954</v>
      </c>
    </row>
    <row r="8">
      <c r="A8" s="33" t="n">
        <v>46092</v>
      </c>
      <c r="B8" s="34" t="n">
        <v>10</v>
      </c>
      <c r="C8" s="23" t="n">
        <v>0.1</v>
      </c>
      <c r="D8" s="23" t="n">
        <v>0.05282925151407619</v>
      </c>
      <c r="E8" s="23" t="n">
        <v>0.02057746875473823</v>
      </c>
      <c r="F8" s="23" t="n">
        <v>0.05876491866484718</v>
      </c>
      <c r="G8" s="23" t="n">
        <v>0.1067140309456249</v>
      </c>
      <c r="H8" s="23" t="n">
        <v>0.1311236019956535</v>
      </c>
      <c r="I8" s="23" t="n">
        <v>0.1893199327080671</v>
      </c>
    </row>
    <row r="9">
      <c r="A9" s="33" t="n">
        <v>46093</v>
      </c>
      <c r="B9" s="34" t="n">
        <v>10</v>
      </c>
      <c r="C9" s="23" t="n">
        <v>0.09999999999999999</v>
      </c>
      <c r="D9" s="23" t="n">
        <v>0.05415762075304164</v>
      </c>
      <c r="E9" s="23" t="n">
        <v>0.01984575978231444</v>
      </c>
      <c r="F9" s="23" t="n">
        <v>0.05615329617314888</v>
      </c>
      <c r="G9" s="23" t="n">
        <v>0.1047958850764607</v>
      </c>
      <c r="H9" s="23" t="n">
        <v>0.1339866445464074</v>
      </c>
      <c r="I9" s="23" t="n">
        <v>0.1838179660005137</v>
      </c>
    </row>
    <row r="10">
      <c r="A10" s="33" t="n">
        <v>46094</v>
      </c>
      <c r="B10" s="34" t="n">
        <v>10</v>
      </c>
      <c r="C10" s="23" t="n">
        <v>0.1</v>
      </c>
      <c r="D10" s="23" t="n">
        <v>0.05356297968119381</v>
      </c>
      <c r="E10" s="23" t="n">
        <v>0.02409086278903942</v>
      </c>
      <c r="F10" s="23" t="n">
        <v>0.05929605531221351</v>
      </c>
      <c r="G10" s="23" t="n">
        <v>0.09963583579504939</v>
      </c>
      <c r="H10" s="23" t="n">
        <v>0.1454953779158602</v>
      </c>
      <c r="I10" s="23" t="n">
        <v>0.1728124681674646</v>
      </c>
    </row>
    <row r="11">
      <c r="A11" s="33" t="n">
        <v>46097</v>
      </c>
      <c r="B11" s="34" t="n">
        <v>10</v>
      </c>
      <c r="C11" s="23" t="n">
        <v>0.1</v>
      </c>
      <c r="D11" s="23" t="n">
        <v>0.05036638300076865</v>
      </c>
      <c r="E11" s="23" t="n">
        <v>0.0319897060057624</v>
      </c>
      <c r="F11" s="23" t="n">
        <v>0.06845226439900416</v>
      </c>
      <c r="G11" s="23" t="n">
        <v>0.09958600240566171</v>
      </c>
      <c r="H11" s="23" t="n">
        <v>0.1365408822624409</v>
      </c>
      <c r="I11" s="23" t="n">
        <v>0.1743265545889396</v>
      </c>
    </row>
    <row r="12">
      <c r="A12" s="33" t="n">
        <v>46098</v>
      </c>
      <c r="B12" s="34" t="n">
        <v>10</v>
      </c>
      <c r="C12" s="23" t="n">
        <v>0.1</v>
      </c>
      <c r="D12" s="23" t="n">
        <v>0.04489515078584543</v>
      </c>
      <c r="E12" s="23" t="n">
        <v>0.03703724375038371</v>
      </c>
      <c r="F12" s="23" t="n">
        <v>0.0722242996913563</v>
      </c>
      <c r="G12" s="23" t="n">
        <v>0.09945247835866294</v>
      </c>
      <c r="H12" s="23" t="n">
        <v>0.1280103923067907</v>
      </c>
      <c r="I12" s="23" t="n">
        <v>0.1726395454621563</v>
      </c>
    </row>
    <row r="13">
      <c r="A13" s="33" t="n">
        <v>46099</v>
      </c>
      <c r="B13" s="34" t="n">
        <v>10</v>
      </c>
      <c r="C13" s="23" t="n">
        <v>0.1</v>
      </c>
      <c r="D13" s="23" t="n">
        <v>0.04523453161470307</v>
      </c>
      <c r="E13" s="23" t="n">
        <v>0.03197771147870127</v>
      </c>
      <c r="F13" s="23" t="n">
        <v>0.07323572705585102</v>
      </c>
      <c r="G13" s="23" t="n">
        <v>0.1066685090039535</v>
      </c>
      <c r="H13" s="23" t="n">
        <v>0.1212417729300495</v>
      </c>
      <c r="I13" s="23" t="n">
        <v>0.1826169837178742</v>
      </c>
    </row>
    <row r="14">
      <c r="A14" s="33" t="n">
        <v>46100</v>
      </c>
      <c r="B14" s="34" t="n">
        <v>11</v>
      </c>
      <c r="C14" s="23" t="n">
        <v>0.09090909090909093</v>
      </c>
      <c r="D14" s="23" t="n">
        <v>0.04896428129354156</v>
      </c>
      <c r="E14" s="23" t="n">
        <v>0.02595011347959592</v>
      </c>
      <c r="F14" s="23" t="n">
        <v>0.04844577455386943</v>
      </c>
      <c r="G14" s="23" t="n">
        <v>0.1056695296159494</v>
      </c>
      <c r="H14" s="23" t="n">
        <v>0.1201326153709225</v>
      </c>
      <c r="I14" s="23" t="n">
        <v>0.1857393974455966</v>
      </c>
    </row>
    <row r="15">
      <c r="A15" s="33" t="n">
        <v>46101</v>
      </c>
      <c r="B15" s="34" t="n">
        <v>13</v>
      </c>
      <c r="C15" s="23" t="n">
        <v>0.07692307692307693</v>
      </c>
      <c r="D15" s="23" t="n">
        <v>0.05174891082898973</v>
      </c>
      <c r="E15" s="23" t="n">
        <v>0.004543871075231359</v>
      </c>
      <c r="F15" s="23" t="n">
        <v>0.04254073075544381</v>
      </c>
      <c r="G15" s="23" t="n">
        <v>0.0777506828428477</v>
      </c>
      <c r="H15" s="23" t="n">
        <v>0.1089923208578829</v>
      </c>
      <c r="I15" s="23" t="n">
        <v>0.1976583917725641</v>
      </c>
    </row>
    <row r="16">
      <c r="A16" s="33" t="n">
        <v>46104</v>
      </c>
      <c r="B16" s="34" t="n">
        <v>13</v>
      </c>
      <c r="C16" s="23" t="n">
        <v>0.07692307692307693</v>
      </c>
      <c r="D16" s="23" t="n">
        <v>0.05141583957546051</v>
      </c>
      <c r="E16" s="23" t="n">
        <v>0.01915046413277655</v>
      </c>
      <c r="F16" s="23" t="n">
        <v>0.03957762587440487</v>
      </c>
      <c r="G16" s="23" t="n">
        <v>0.0637683857754608</v>
      </c>
      <c r="H16" s="23" t="n">
        <v>0.1016969439050988</v>
      </c>
      <c r="I16" s="23" t="n">
        <v>0.2032475995425167</v>
      </c>
    </row>
    <row r="17">
      <c r="A17" s="33" t="n">
        <v>46105</v>
      </c>
      <c r="B17" s="34" t="n">
        <v>14</v>
      </c>
      <c r="C17" s="23" t="n">
        <v>0.07142857142857142</v>
      </c>
      <c r="D17" s="23" t="n">
        <v>0.05005092250291227</v>
      </c>
      <c r="E17" s="23" t="n">
        <v>0.01092944374503845</v>
      </c>
      <c r="F17" s="23" t="n">
        <v>0.03943981589139517</v>
      </c>
      <c r="G17" s="23" t="n">
        <v>0.05841599243037792</v>
      </c>
      <c r="H17" s="23" t="n">
        <v>0.09959986849385369</v>
      </c>
      <c r="I17" s="23" t="n">
        <v>0.1879254905419817</v>
      </c>
    </row>
    <row r="18">
      <c r="A18" s="33" t="n">
        <v>46106</v>
      </c>
      <c r="B18" s="34" t="n">
        <v>14</v>
      </c>
      <c r="C18" s="23" t="n">
        <v>0.07142857142857142</v>
      </c>
      <c r="D18" s="23" t="n">
        <v>0.05058042723928712</v>
      </c>
      <c r="E18" s="23" t="n">
        <v>0.01070042312130643</v>
      </c>
      <c r="F18" s="23" t="n">
        <v>0.03704739813422542</v>
      </c>
      <c r="G18" s="23" t="n">
        <v>0.0561888776211957</v>
      </c>
      <c r="H18" s="23" t="n">
        <v>0.09708477579233253</v>
      </c>
      <c r="I18" s="23" t="n">
        <v>0.1819965575254592</v>
      </c>
    </row>
    <row r="19">
      <c r="A19" s="33" t="n">
        <v>46107</v>
      </c>
      <c r="B19" s="34" t="n">
        <v>14</v>
      </c>
      <c r="C19" s="23" t="n">
        <v>0.07142857142857142</v>
      </c>
      <c r="D19" s="23" t="n">
        <v>0.04904233068205236</v>
      </c>
      <c r="E19" s="23" t="n">
        <v>0.01046376976669135</v>
      </c>
      <c r="F19" s="23" t="n">
        <v>0.03558289196423486</v>
      </c>
      <c r="G19" s="23" t="n">
        <v>0.0597338496877195</v>
      </c>
      <c r="H19" s="23" t="n">
        <v>0.1000892230005505</v>
      </c>
      <c r="I19" s="23" t="n">
        <v>0.1739582740095298</v>
      </c>
    </row>
    <row r="20">
      <c r="A20" s="33" t="n">
        <v>46108</v>
      </c>
      <c r="B20" s="34" t="n">
        <v>14</v>
      </c>
      <c r="C20" s="23" t="n">
        <v>0.07142857142857142</v>
      </c>
      <c r="D20" s="23" t="n">
        <v>0.04880854513493017</v>
      </c>
      <c r="E20" s="23" t="n">
        <v>0.01038200642627633</v>
      </c>
      <c r="F20" s="23" t="n">
        <v>0.03666369153873617</v>
      </c>
      <c r="G20" s="23" t="n">
        <v>0.05817743662977508</v>
      </c>
      <c r="H20" s="23" t="n">
        <v>0.09668689753659408</v>
      </c>
      <c r="I20" s="23" t="n">
        <v>0.1673402356301321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zoomScaleNormal="100" workbookViewId="0">
      <selection activeCell="F6" sqref="F6"/>
    </sheetView>
  </sheetViews>
  <sheetFormatPr baseColWidth="8" defaultColWidth="10.875" defaultRowHeight="18.75"/>
  <cols>
    <col width="20.625" customWidth="1" style="2" min="1" max="1"/>
    <col width="24.625" customWidth="1" style="2" min="2" max="5"/>
    <col width="24.625" customWidth="1" style="17" min="6" max="6"/>
    <col width="24.625" customWidth="1" style="2" min="7" max="7"/>
    <col width="24.625" customWidth="1" style="17" min="8" max="8"/>
    <col width="24.625" customWidth="1" style="2" min="9" max="10"/>
    <col width="14.375" customWidth="1" style="2" min="11" max="11"/>
    <col width="16.875" customWidth="1" style="2" min="12" max="12"/>
    <col width="16.5" customWidth="1" style="2" min="13" max="13"/>
    <col width="21" customWidth="1" style="2" min="14" max="14"/>
    <col width="22.375" customWidth="1" style="2" min="15" max="15"/>
    <col width="10.875" customWidth="1" style="2" min="16" max="16384"/>
  </cols>
  <sheetData>
    <row r="1" ht="20.1" customHeight="1">
      <c r="A1" s="21" t="inlineStr">
        <is>
          <t>名称（标题）</t>
        </is>
      </c>
      <c r="B1" s="21" t="inlineStr">
        <is>
          <t>开始日期</t>
        </is>
      </c>
      <c r="C1" s="21" t="inlineStr">
        <is>
          <t>结束日期</t>
        </is>
      </c>
      <c r="D1" s="21" t="inlineStr">
        <is>
          <t>收益率</t>
        </is>
      </c>
      <c r="E1" s="21" t="inlineStr">
        <is>
          <t>年化收益率</t>
        </is>
      </c>
      <c r="F1" s="26" t="inlineStr">
        <is>
          <t>超额收益率（几何）</t>
        </is>
      </c>
      <c r="G1" s="21" t="inlineStr">
        <is>
          <t>绝对收益最大回撤</t>
        </is>
      </c>
      <c r="H1" s="26" t="inlineStr">
        <is>
          <t>超额最大回撤（几何）</t>
        </is>
      </c>
      <c r="I1" s="21" t="inlineStr">
        <is>
          <t>夏普比率</t>
        </is>
      </c>
      <c r="J1" s="21" t="inlineStr">
        <is>
          <t>超额夏普比率</t>
        </is>
      </c>
    </row>
    <row r="2" ht="20.1" customHeight="1">
      <c r="A2" s="16" t="n">
        <v/>
      </c>
      <c r="B2" s="17" t="n">
        <v/>
      </c>
      <c r="C2" s="17" t="n">
        <v/>
      </c>
      <c r="D2" s="17" t="n">
        <v/>
      </c>
      <c r="E2" s="17" t="n">
        <v/>
      </c>
      <c r="F2" s="17" t="n">
        <v/>
      </c>
      <c r="G2" s="17" t="n">
        <v/>
      </c>
      <c r="H2" s="17" t="n">
        <v/>
      </c>
      <c r="I2" s="17" t="n">
        <v/>
      </c>
      <c r="J2" s="17" t="n">
        <v/>
      </c>
      <c r="K2" s="32" t="n"/>
      <c r="L2" s="32" t="n"/>
      <c r="M2" s="32" t="n"/>
      <c r="N2" s="17" t="n"/>
      <c r="O2" s="17" t="n"/>
      <c r="P2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2022-03-29T00:08:00Z</dcterms:created>
  <dcterms:modified xmlns:dcterms="http://purl.org/dc/terms/" xmlns:xsi="http://www.w3.org/2001/XMLSchema-instance" xsi:type="dcterms:W3CDTF">2024-04-17T09:17:47Z</dcterms:modified>
  <cp:lastModifiedBy>lin dongzhao</cp:lastModifiedBy>
</cp:coreProperties>
</file>